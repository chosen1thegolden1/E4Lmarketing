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am Call Sheet" sheetId="2" state="visible" r:id="rId2"/>
    <sheet xmlns:r="http://schemas.openxmlformats.org/officeDocument/2006/relationships" name="Leads" sheetId="3" state="visible" r:id="rId3"/>
    <sheet xmlns:r="http://schemas.openxmlformats.org/officeDocument/2006/relationships" name="GHL Import" sheetId="4" state="visible" r:id="rId4"/>
  </sheets>
  <definedNames>
    <definedName name="_xlnm._FilterDatabase" localSheetId="1" hidden="1">'Sam Call Sheet'!$A$1:$AF$31</definedName>
    <definedName name="_xlnm._FilterDatabase" localSheetId="2" hidden="1">'Leads'!$A$1:$BT$61</definedName>
    <definedName name="_xlnm._FilterDatabase" localSheetId="3" hidden="1">'GHL Import'!$A$1:$V$61</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sz val="14"/>
    </font>
    <font>
      <name val="Arial"/>
      <i val="1"/>
      <color rgb="00555555"/>
      <sz val="9"/>
    </font>
    <font>
      <name val="Arial"/>
      <b val="1"/>
      <sz val="11"/>
    </font>
    <font>
      <name val="Arial"/>
      <sz val="10"/>
    </font>
    <font>
      <name val="Arial"/>
      <color rgb="000000FF"/>
      <sz val="10"/>
    </font>
    <font>
      <name val="Arial"/>
      <b val="1"/>
      <color rgb="00000000"/>
      <sz val="10"/>
    </font>
  </fonts>
  <fills count="3">
    <fill>
      <patternFill/>
    </fill>
    <fill>
      <patternFill patternType="gray125"/>
    </fill>
    <fill>
      <patternFill patternType="solid">
        <fgColor rgb="00FFC2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4" fillId="0" borderId="1" applyAlignment="1" pivotButton="0" quotePrefix="0" xfId="0">
      <alignment vertical="top" wrapText="1"/>
    </xf>
    <xf numFmtId="164" fontId="5" fillId="0" borderId="1" applyAlignment="1" pivotButton="0" quotePrefix="0" xfId="0">
      <alignment vertical="top" wrapText="1"/>
    </xf>
    <xf numFmtId="0" fontId="5" fillId="0" borderId="1" applyAlignment="1" pivotButton="0" quotePrefix="0" xfId="0">
      <alignment vertical="top" wrapText="1"/>
    </xf>
    <xf numFmtId="164" fontId="4"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E4L Lead Machine</author>
  </authors>
  <commentList>
    <comment ref="E1" authorId="0" shapeId="0">
      <text>
        <t>Owner's direct line when published, otherwise the company line</t>
      </text>
    </comment>
    <comment ref="AA1" authorId="0" shapeId="0">
      <text>
        <t>Computed: call 1 today, call 2 after 2 days, call 3 after 3 more; 'Done' once booked, email captured, not interested, or do-not-call</t>
      </text>
    </comment>
    <comment ref="AB1" authorId="0" shapeId="0">
      <text>
        <t>The address they gave for the free GEO audit</t>
      </text>
    </comment>
  </commentList>
</comments>
</file>

<file path=xl/comments/comment2.xml><?xml version="1.0" encoding="utf-8"?>
<comments xmlns="http://schemas.openxmlformats.org/spreadsheetml/2006/main">
  <authors>
    <author>E4L Lead Machine</author>
  </authors>
  <commentList>
    <comment ref="A1" authorId="0" shapeId="0">
      <text>
        <t>YYYYMMDD-NN, unique forever</t>
      </text>
    </comment>
    <comment ref="D1" authorId="0" shapeId="0">
      <text>
        <t>YOU fill this. Approve = goes to GHL Import tab filter.</t>
      </text>
    </comment>
    <comment ref="E1" authorId="0" shapeId="0">
      <text>
        <t>YOU update as you work the lead.</t>
      </text>
    </comment>
    <comment ref="F1" authorId="0" shapeId="0">
      <text>
        <t>0–100 from the Scoring Rubric tab</t>
      </text>
    </comment>
    <comment ref="G1" authorId="0" shapeId="0">
      <text>
        <t>Formula from Lead Score</t>
      </text>
    </comment>
    <comment ref="L1" authorId="0" shapeId="0">
      <text>
        <t>Only emails found on a public page. 'Not found' is honest.</t>
      </text>
    </comment>
    <comment ref="U1" authorId="0" shapeId="0">
      <text>
        <t>One line: why this lead, why this week</t>
      </text>
    </comment>
    <comment ref="V1" authorId="0" shapeId="0">
      <text>
        <t>See Attitude Guide tab</t>
      </text>
    </comment>
    <comment ref="W1" authorId="0" shapeId="0">
      <text>
        <t>Per Chosen's Service–Industry Matrix</t>
      </text>
    </comment>
    <comment ref="X1" authorId="0" shapeId="0">
      <text>
        <t>Internal only — never quoted in outreach</t>
      </text>
    </comment>
    <comment ref="Z1" authorId="0" shapeId="0">
      <text>
        <t>Opening sentence of the cold email</t>
      </text>
    </comment>
    <comment ref="AA1" authorId="0" shapeId="0">
      <text>
        <t>For Sam / Chosen on the phone</t>
      </text>
    </comment>
    <comment ref="AC1" authorId="0" shapeId="0">
      <text>
        <t>Sam's permission-based opener, tailored to this lead</t>
      </text>
    </comment>
    <comment ref="AG1" authorId="0" shapeId="0">
      <text>
        <t>Who answers the phone and how to reach the owner</t>
      </text>
    </comment>
    <comment ref="AH1" authorId="0" shapeId="0">
      <text>
        <t>The one thing to reference first</t>
      </text>
    </comment>
    <comment ref="BL1" authorId="0" shapeId="0">
      <text>
        <t>Named by ChatGPT/Perplexity for the money questions? (quick check)</t>
      </text>
    </comment>
    <comment ref="BN1" authorId="0" shapeId="0">
      <text>
        <t>Dimension: pts/weight — evidence</t>
      </text>
    </comment>
    <comment ref="BO1" authorId="0" shapeId="0">
      <text>
        <t>Every URL relied on</t>
      </text>
    </comment>
    <comment ref="BR1" authorId="0" shapeId="0">
      <text>
        <t>YOU: anything for Sam / Rozel</t>
      </text>
    </comment>
    <comment ref="BS1" authorId="0" shapeId="0">
      <text>
        <t>YOU: paste after import</t>
      </text>
    </comment>
    <comment ref="BT1" authorId="0" shapeId="0">
      <text>
        <t>YOU: 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1" t="inlineStr">
        <is>
          <t>E4L Leads — daily batch</t>
        </is>
      </c>
    </row>
    <row r="2">
      <c r="A2" s="2" t="inlineStr">
        <is>
          <t>Eat 4 Life Marketing · AI Marketing Made Easy · built by Claude, reviewed by humans</t>
        </is>
      </c>
    </row>
    <row r="4">
      <c r="A4" s="3" t="inlineStr">
        <is>
          <t>What this is</t>
        </is>
      </c>
    </row>
    <row r="5">
      <c r="A5" s="4" t="inlineStr">
        <is>
          <t>The review sheet for E4L's daily lead machine. Claude finds, qualifies, and researches 25 small-business leads per weekday and writes them here. Sam works the Sam Call Sheet tab (calls + follow-ups); Chosen reviews the Leads tab, approves, and loads approved rows into GoHighLevel (E4L Services sub-account). Nothing is emailed or called from this sheet itself.</t>
        </is>
      </c>
    </row>
    <row r="6">
      <c r="A6" s="4" t="inlineStr">
        <is>
          <t>Daily batches arrive as dated sheets in the same Drive folder ('E4L Leads — YYYY-MM-DD'). This master file holds the playbook tabs, the suppression list, and the run log so the whole system is readable in one place.</t>
        </is>
      </c>
    </row>
    <row r="8">
      <c r="A8" s="3" t="inlineStr">
        <is>
          <t>Sam: working the Call Sheet</t>
        </is>
      </c>
    </row>
    <row r="9">
      <c r="A9" s="4" t="inlineStr">
        <is>
          <t>Open the Sam Call Sheet tab. Rows are sorted by Lead Score; every row has the best number, the owner's name and title, the timezone and best time to call, who answers the phone, a 20-second opener written for that business, the call angle, and the objection to expect.</t>
        </is>
      </c>
    </row>
    <row r="10">
      <c r="A10" s="4" t="inlineStr">
        <is>
          <t>Cadence: Call 1 on the day the batch lands (use Best Time to Call). Call 2 two days later, leave a voicemail. Call 3 three days after that. Then the email bridge. 'Next Call Due' computes itself from what you log.</t>
        </is>
      </c>
    </row>
    <row r="11">
      <c r="A11" s="4" t="inlineStr">
        <is>
          <t>Log every call the same day with the outcome dropdowns. Every call ends with ask #1 (Game Plan Call → log 'Game Plan Call booked' and the date) or ask #2 (email for the free GEO audit → log 'Email captured' and paste the address). 'Do not call' is permanent — those companies go on the Suppression tab.</t>
        </is>
      </c>
    </row>
    <row r="13">
      <c r="A13" s="3" t="inlineStr">
        <is>
          <t>Chosen / Rozel: daily review in 5 steps (≈30 minutes for 25 rows)</t>
        </is>
      </c>
    </row>
    <row r="14">
      <c r="A14" s="4" t="inlineStr">
        <is>
          <t>1. Open the Leads tab (full research). Rows are sorted by Lead Score. Read Why Now, Attitude Type, Pain Signals, and the Personalized First Line.</t>
        </is>
      </c>
    </row>
    <row r="15">
      <c r="A15" s="4" t="inlineStr">
        <is>
          <t>2. Set Review Decision: Approve (load into GHL), Hold (good but not now), Reject (wrong fit — tell us why in Reviewer Notes so the rubric learns).</t>
        </is>
      </c>
    </row>
    <row r="16">
      <c r="A16" s="4" t="inlineStr">
        <is>
          <t>3. Skim Owner Email Confidence. 'Confirmed' = seen on their own site/profile. 'Likely' = public but indirect. 'Not found' = call it (Sam) or use the generic inbox.</t>
        </is>
      </c>
    </row>
    <row r="17">
      <c r="A17" s="4" t="inlineStr">
        <is>
          <t>4. Go to the GHL Import tab, filter column A to Approve, File → Download → CSV, then Contacts → Import in GHL. Map the columns 1:1 (the LM* columns are custom fields — create them once in GHL as single-line text, or skip them and paste the row into a contact note).</t>
        </is>
      </c>
    </row>
    <row r="18">
      <c r="A18" s="4" t="inlineStr">
        <is>
          <t>5. Set Status to 'Loaded to GHL' and paste the GHL Contact ID. The daily run reads this file's Suppression and Seen lists so nobody is pitched twice.</t>
        </is>
      </c>
    </row>
    <row r="20">
      <c r="A20" s="3" t="inlineStr">
        <is>
          <t>How to read the scores</t>
        </is>
      </c>
    </row>
    <row r="21">
      <c r="A21" s="4" t="inlineStr">
        <is>
          <t>Lead Score is 0–100 against the Scoring Rubric tab (weights sum to 100). Score Band: A (80+) send today · B (60–79) worth a touch · C (40–59) hold · D (&lt;40) reject. Hard disqualifiers (chains, franchises, no website, closed, already using an AI receptionist) never make it into the sheet.</t>
        </is>
      </c>
    </row>
    <row r="22">
      <c r="A22" s="4" t="inlineStr">
        <is>
          <t>Research Confidence tells you how much public evidence existed. A High-confidence 70 beats a Low-confidence 85.</t>
        </is>
      </c>
    </row>
    <row r="23">
      <c r="A23" s="4" t="inlineStr">
        <is>
          <t>Attitude Type is the bot's read of how the owner thinks (see the Attitude Guide tab) and drives the Call Angle and the first line. 'Unclear' means not enough public signal — lead with the demo, not the pitch.</t>
        </is>
      </c>
    </row>
    <row r="25">
      <c r="A25" s="3" t="inlineStr">
        <is>
          <t>What the bot will never do</t>
        </is>
      </c>
    </row>
    <row r="26">
      <c r="A26" s="4" t="inlineStr">
        <is>
          <t>Invent or pattern-guess an email, phone, or name (blank or 'Not found' instead). Use anything behind a login or paywall. Promise results, rankings, or revenue in any suggested copy. Quote prices. Re-pitch anyone on the Suppression tab or on an earlier batch.</t>
        </is>
      </c>
    </row>
    <row r="28">
      <c r="A28" s="3" t="inlineStr">
        <is>
          <t>Changing the machine</t>
        </is>
      </c>
    </row>
    <row r="29">
      <c r="A29" s="4" t="inlineStr">
        <is>
          <t>Add a company to the Suppression tab to block it forever. Add or edit rows on the Niche Playbook tab to change what gets chased (the daily run reads it). Reject reasons in Reviewer Notes are read on the next run.</t>
        </is>
      </c>
    </row>
    <row r="30">
      <c r="A30" s="4" t="inlineStr">
        <is>
          <t>Source files, playbooks, and the daily operator prompt live in the E4Lmarketing repo under lead-machine/.</t>
        </is>
      </c>
    </row>
    <row r="32">
      <c r="A32" s="3" t="inlineStr">
        <is>
          <t>Legend</t>
        </is>
      </c>
    </row>
    <row r="33">
      <c r="A33" s="5" t="inlineStr">
        <is>
          <t>Yellow header — Column written by the bot (do not rename — the prompt's output schema uses these exact names).</t>
        </is>
      </c>
    </row>
    <row r="34">
      <c r="A34" s="6" t="inlineStr">
        <is>
          <t>Blue text — Cells YOU fill in during review (Review Decision, Reviewer Notes, GHL Contact ID, Loaded to GHL).</t>
        </is>
      </c>
    </row>
    <row r="35">
      <c r="A35" s="4" t="inlineStr">
        <is>
          <t>Green / amber / red score — Score band: 80–100 send today · 60–79 worth a touch · below 60 hold or reject.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8" customWidth="1" min="3" max="3"/>
    <col width="14" customWidth="1" min="4" max="4"/>
    <col width="17" customWidth="1" min="5" max="5"/>
    <col width="17" customWidth="1" min="6" max="6"/>
    <col width="13" customWidth="1" min="7" max="7"/>
    <col width="5" customWidth="1" min="8" max="8"/>
    <col width="7" customWidth="1" min="9" max="9"/>
    <col width="28" customWidth="1" min="10" max="10"/>
    <col width="20" customWidth="1" min="11" max="11"/>
    <col width="30" customWidth="1" min="12" max="12"/>
    <col width="7" customWidth="1" min="13" max="13"/>
    <col width="20" customWidth="1" min="14" max="14"/>
    <col width="20" customWidth="1" min="15" max="15"/>
    <col width="55" customWidth="1" min="16" max="16"/>
    <col width="45" customWidth="1" min="17" max="17"/>
    <col width="36" customWidth="1" min="18" max="18"/>
    <col width="36" customWidth="1" min="19" max="19"/>
    <col width="26" customWidth="1" min="20" max="20"/>
    <col width="11" customWidth="1" min="21" max="21"/>
    <col width="22" customWidth="1" min="22" max="22"/>
    <col width="11" customWidth="1" min="23" max="23"/>
    <col width="22" customWidth="1" min="24" max="24"/>
    <col width="11" customWidth="1" min="25" max="25"/>
    <col width="22" customWidth="1" min="26" max="26"/>
    <col width="12" customWidth="1" min="27" max="27"/>
    <col width="26" customWidth="1" min="28" max="28"/>
    <col width="14" customWidth="1" min="29" max="29"/>
    <col width="40" customWidth="1" min="30" max="30"/>
    <col width="28" customWidth="1" min="31" max="31"/>
    <col width="26" customWidth="1" min="32" max="32"/>
  </cols>
  <sheetData>
    <row r="1" ht="32" customHeight="1">
      <c r="A1" s="7" t="inlineStr">
        <is>
          <t>Lead ID</t>
        </is>
      </c>
      <c r="B1" s="7" t="inlineStr">
        <is>
          <t>Company</t>
        </is>
      </c>
      <c r="C1" s="7" t="inlineStr">
        <is>
          <t>Owner</t>
        </is>
      </c>
      <c r="D1" s="7" t="inlineStr">
        <is>
          <t>Title</t>
        </is>
      </c>
      <c r="E1" s="7" t="inlineStr">
        <is>
          <t>Best Number to Call</t>
        </is>
      </c>
      <c r="F1" s="7" t="inlineStr">
        <is>
          <t>Company Phone</t>
        </is>
      </c>
      <c r="G1" s="7" t="inlineStr">
        <is>
          <t>City</t>
        </is>
      </c>
      <c r="H1" s="7" t="inlineStr">
        <is>
          <t>ST</t>
        </is>
      </c>
      <c r="I1" s="7" t="inlineStr">
        <is>
          <t>TZ</t>
        </is>
      </c>
      <c r="J1" s="7" t="inlineStr">
        <is>
          <t>Best Time to Call</t>
        </is>
      </c>
      <c r="K1" s="7" t="inlineStr">
        <is>
          <t>Business Hours</t>
        </is>
      </c>
      <c r="L1" s="7" t="inlineStr">
        <is>
          <t>Gatekeeper Notes</t>
        </is>
      </c>
      <c r="M1" s="7" t="inlineStr">
        <is>
          <t>Score</t>
        </is>
      </c>
      <c r="N1" s="7" t="inlineStr">
        <is>
          <t>Attitude</t>
        </is>
      </c>
      <c r="O1" s="7" t="inlineStr">
        <is>
          <t>Entry Offer</t>
        </is>
      </c>
      <c r="P1" s="7" t="inlineStr">
        <is>
          <t>Call Opener (20 sec)</t>
        </is>
      </c>
      <c r="Q1" s="7" t="inlineStr">
        <is>
          <t>Call Angle</t>
        </is>
      </c>
      <c r="R1" s="7" t="inlineStr">
        <is>
          <t>Likely Objection</t>
        </is>
      </c>
      <c r="S1" s="7" t="inlineStr">
        <is>
          <t>Best Opening Moment</t>
        </is>
      </c>
      <c r="T1" s="7" t="inlineStr">
        <is>
          <t>After-Hours Handling</t>
        </is>
      </c>
      <c r="U1" s="7" t="inlineStr">
        <is>
          <t>Call 1 Date</t>
        </is>
      </c>
      <c r="V1" s="7" t="inlineStr">
        <is>
          <t>Call 1 Outcome</t>
        </is>
      </c>
      <c r="W1" s="7" t="inlineStr">
        <is>
          <t>Call 2 Date</t>
        </is>
      </c>
      <c r="X1" s="7" t="inlineStr">
        <is>
          <t>Call 2 Outcome</t>
        </is>
      </c>
      <c r="Y1" s="7" t="inlineStr">
        <is>
          <t>Call 3 Date</t>
        </is>
      </c>
      <c r="Z1" s="7" t="inlineStr">
        <is>
          <t>Call 3 Outcome</t>
        </is>
      </c>
      <c r="AA1" s="7" t="inlineStr">
        <is>
          <t>Next Call Due</t>
        </is>
      </c>
      <c r="AB1" s="7" t="inlineStr">
        <is>
          <t>Email Captured</t>
        </is>
      </c>
      <c r="AC1" s="7" t="inlineStr">
        <is>
          <t>Game Plan Call Date</t>
        </is>
      </c>
      <c r="AD1" s="7" t="inlineStr">
        <is>
          <t>Sam Notes</t>
        </is>
      </c>
      <c r="AE1" s="7" t="inlineStr">
        <is>
          <t>Website</t>
        </is>
      </c>
      <c r="AF1" s="7" t="inlineStr">
        <is>
          <t>Owner Email</t>
        </is>
      </c>
    </row>
    <row r="2" ht="110" customHeight="1">
      <c r="A2" s="8" t="inlineStr">
        <is>
          <t>20261013-01</t>
        </is>
      </c>
      <c r="B2" s="8" t="inlineStr">
        <is>
          <t>Ohio Water Heaters Heating, Cooling &amp; Plumbing</t>
        </is>
      </c>
      <c r="C2" s="8" t="inlineStr">
        <is>
          <t>Mike Matheny</t>
        </is>
      </c>
      <c r="D2" s="8" t="inlineStr">
        <is>
          <t>Owner</t>
        </is>
      </c>
      <c r="E2" s="8" t="inlineStr">
        <is>
          <t>+1 614-756-5919</t>
        </is>
      </c>
      <c r="F2" s="8" t="inlineStr">
        <is>
          <t>+1 614-756-5919 (site header/hero; CallRail swap.js is loaded so this may be a tracking number) / +1 614-259-8554 (BBB listing)</t>
        </is>
      </c>
      <c r="G2" s="8" t="inlineStr">
        <is>
          <t>Reynoldsburg</t>
        </is>
      </c>
      <c r="H2" s="8" t="inlineStr">
        <is>
          <t>OH</t>
        </is>
      </c>
      <c r="I2" s="8" t="inlineStr">
        <is>
          <t>America/New_York (Eastern)</t>
        </is>
      </c>
      <c r="J2" s="8" t="inlineStr">
        <is>
          <t>Tue–Thu 7:30–8:30 AM ET before trucks dispatch (site testimonials say Tammy in the office handles the first call, so early morning is when Mike is most likely still at the shop); fallback 4:00–5:30 PM ET. Site claims 24/7 but GBP hours unverified; keep calls inside 8 AM–9 PM ET per DNC rules.</t>
        </is>
      </c>
      <c r="K2" s="8" t="inlineStr">
        <is>
          <t>Site: "Business Hours Mon to Sun 24/7" and "Call Us 24/7 614.756.5919" (https://www.ohiowaterheaters.com/contact-us). Google Business Profile hours could not be verified this session.</t>
        </is>
      </c>
      <c r="L2" s="8" t="inlineStr">
        <is>
          <t>Daytime line is answered by office staff — two site testimonials name "Tammy" ("Smooth going from the first call with Tammy"; "office staff member Tammy was helpful", https://www.ohiowaterheaters.com/reviews/). Ask: "Hi Tammy, is Mike around this morning?" No owner cell published. After-hours answering method unknown (no service named). Main number 614-756-5919 is behind CallRail swap, so the number Sam sees may be a tracking line; BBB lists 614-259-8554 as an alternate. Second brand name "Ohio Plumbing Heating &amp; Cooling" appears on the careers page — don't be thrown if they answer with that name.</t>
        </is>
      </c>
      <c r="M2" s="8" t="n">
        <v>71</v>
      </c>
      <c r="N2" s="8" t="inlineStr">
        <is>
          <t>Growth-Minded Operator (medium confidence; secondary: Tech-Forward Early Adopter)</t>
        </is>
      </c>
      <c r="O2" s="8" t="inlineStr">
        <is>
          <t>Voice AI live demo built from ohiowaterheaters.com, emergency/after-hours angle (water heater dies at 2 a.m.; no-heat calls this winter), booking into their existing Housecall Pro; pair with missed-call text-back. GEO audit as the second touch once the spot-check is run.</t>
        </is>
      </c>
      <c r="P2" s="8" t="inlineStr">
        <is>
          <t>"Hi, is this Mike? Mike, it's Sam with Eat 4 Life Marketing — this is a cold call, so feel free to hang up on me. I was on ohiowaterheaters.com and saw you promise plumbers standing by 24 hours a day, and that you're hiring three more techs for the heating side. Quick question: when a water heater dies at 2 a.m. and everybody's out, who picks that call up — you, Tammy, or voicemail? We built a demo line trained on your own site that answers those calls and books them straight into your Housecall Pro. Can I take 20 seconds to tell you how it works, and you decide if it's worth a look?"</t>
        </is>
      </c>
      <c r="Q2" s="8" t="inlineStr">
        <is>
          <t>Overflow and after-hours coverage for a 5-person shop that already pays to generate and track calls (CallRail) and already books in Housecall Pro: an AI receptionist trained on Ohio Water Heaters' own site answers every missed or after-hours call, qualifies the emergency (no hot water, leaking tank, no heat), and books it straight into Housecall Pro; go-live is one conditional call-forwarding rule. Lead with the 2 a.m. scenario and heating season, not with "AI". Proof lever: the demo number he can call before paying anything.</t>
        </is>
      </c>
      <c r="R2" s="8" t="inlineStr">
        <is>
          <t>"Tammy answers our phones and we already have Housecall Pro" — answer: this only catches what already goes to voicemail (nights, weekends, while Tammy is on another line) and books into the same Housecall Pro calendar; nothing changes for her during the day. Secondary: "We're a 50-year veteran-owned family name; I'm not letting a robot talk to my customers" — answer: it's trained on their story and tone; call the demo line first and judge it yourself.</t>
        </is>
      </c>
      <c r="S2" s="8" t="inlineStr">
        <is>
          <t>Live hiring for three field techs plus the brand-new heating/AC service line heading into winter (careers board live 2026-10-14; HVAC pages published 2026-01-06) — "you're adding trucks and a whole heating line; who's covering the phone at 2 a.m. while they're out?"</t>
        </is>
      </c>
      <c r="T2" s="8" t="inlineStr">
        <is>
          <t>Site promises "Business Hours Mon to Sun 24/7", "Call Us 24/7" and "our plumbers are standing by 24 hours a day" on a 5-employee shop (BBB). No answering service, call center or AI receptionist is named anywhere on the site or in page source. Who actually picks up after hours: Not found. Reviews on the site name "Tammy" as the person taking the first call during the day.</t>
        </is>
      </c>
      <c r="U2" s="9" t="inlineStr"/>
      <c r="V2" s="10" t="inlineStr"/>
      <c r="W2" s="9" t="inlineStr"/>
      <c r="X2" s="10" t="inlineStr"/>
      <c r="Y2" s="9" t="inlineStr"/>
      <c r="Z2" s="10" t="inlineStr"/>
      <c r="AA2" s="11">
        <f>IF(A2="","",IF(OR(V2="Game Plan Call booked",V2="Do not call",V2="Not interested",V2="Email captured (GEO audit)",X2="Game Plan Call booked",X2="Do not call",X2="Not interested",X2="Email captured (GEO audit)",Y2&lt;&gt;""),"Done",IF(W2&lt;&gt;"",W2+3,IF(U2&lt;&gt;"",U2+2,"Call today"))))</f>
        <v/>
      </c>
      <c r="AB2" s="10" t="inlineStr"/>
      <c r="AC2" s="9" t="inlineStr"/>
      <c r="AD2" s="10" t="inlineStr"/>
      <c r="AE2" s="8" t="inlineStr">
        <is>
          <t>https://www.ohiowaterheaters.com</t>
        </is>
      </c>
      <c r="AF2" s="8" t="inlineStr">
        <is>
          <t>mike@ohiowaterheaters.com</t>
        </is>
      </c>
    </row>
    <row r="3" ht="110" customHeight="1">
      <c r="A3" s="8" t="inlineStr">
        <is>
          <t>20261013-02</t>
        </is>
      </c>
      <c r="B3" s="8" t="inlineStr">
        <is>
          <t>Armoured Plumbing, Inc.</t>
        </is>
      </c>
      <c r="C3" s="8" t="inlineStr">
        <is>
          <t>Barry Arnold</t>
        </is>
      </c>
      <c r="D3" s="8" t="inlineStr">
        <is>
          <t>Owner</t>
        </is>
      </c>
      <c r="E3" s="8" t="inlineStr">
        <is>
          <t>+1 916-782-8133</t>
        </is>
      </c>
      <c r="F3" s="8" t="inlineStr">
        <is>
          <t>+1 916-782-8133 (tel: links on site, BBB, Nextdoor; BBB also lists fax +1 916-772-0331)</t>
        </is>
      </c>
      <c r="G3" s="8" t="inlineStr">
        <is>
          <t>Roseville</t>
        </is>
      </c>
      <c r="H3" s="8" t="inlineStr">
        <is>
          <t>CA</t>
        </is>
      </c>
      <c r="I3" s="8" t="inlineStr">
        <is>
          <t>America/Los_Angeles (Pacific)</t>
        </is>
      </c>
      <c r="J3" s="8" t="inlineStr">
        <is>
          <t>Tue-Thu 7:30-8:30 AM PT, before the six plumbers dispatch — the office line is the only number published, the office manager (Danielle) is the likely first voice, and the owner is most reachable before trucks roll. Backup window: 4:00-5:30 PM PT.</t>
        </is>
      </c>
      <c r="K3" s="8" t="inlineStr">
        <is>
          <t>Current site posts no hours. Previous site (Wayback snapshot 2026-01-15 of the same domain) footer: 'Mon-Sat 24 hours, Sun by appointment'. GBP hours not retrievable this run — Sam should confirm on the first dial.</t>
        </is>
      </c>
      <c r="L3" s="8" t="inlineStr">
        <is>
          <t>Likely first voice on 916-782-8133: Danielle, Office Manager (site About and BBB; BBB lists her as 'Danielle Curtis', site and the CA corporate-agent record list 'Danielle Arnold' — use 'Danielle' only). Her mailbox Danielle@ArmouredPlumbing.com is also the JSON-LD contact email, so she reads the general inbox. No answering service or IVR detected in source; owner cell not published. Through-line: 'Hi Danielle, Sam with Eat 4 Life — is Barry in the office before the trucks go out, or should I try back at 4:30?' If Danielle is the phone owner, she is a legitimate champion: offer her the demo number directly.</t>
        </is>
      </c>
      <c r="M3" s="8" t="n">
        <v>62</v>
      </c>
      <c r="N3" s="8" t="inlineStr">
        <is>
          <t>Family-Legacy Pride Brand (secondary: Growth-Minded Operator)</t>
        </is>
      </c>
      <c r="O3" s="8" t="inlineStr">
        <is>
          <t>Voice AI live demo built from armouredplumbing.com, emergency angle (2 a.m. burst pipe / water heater call), paired with missed-call text-back. Door-opener: demo number first; GEO audit as ask #2 once the 3 money questions have been run.</t>
        </is>
      </c>
      <c r="P3" s="8" t="inlineStr">
        <is>
          <t>Hi, is this Barry? Barry, it's Sam with Eat 4 Life Marketing — this is a cold call, so feel free to hang up on me, but give me twenty seconds. I was on your new site: '24/7 Rapid Response' on the homepage, six plumbers on the trucks, one office line. Quick question — at 2 a.m. when a Roseville homeowner's water heater lets go, who picks that call up right now: you, Danielle, or voicemail? Reason I ask is we built a demo receptionist from your own website that answers those calls, gets the name and the problem, and books it. Can I text you the number so you can hear it for yourself, or is there a better time to grab you?</t>
        </is>
      </c>
      <c r="Q3" s="8" t="inlineStr">
        <is>
          <t>Relief and legacy, not 'AI': the site promises 24/7 rapid response for emergencies, but the only non-phone channel promises a reply within 24 hours, and there is one office line for six trucks. Ask who picks up at night and on Sundays right now (Barry, Danielle, or voicemail), then offer the demo line trained on their own site that answers, qualifies the caller, and books — go-live is one call-forwarding rule for missed/busy calls. Position as after-hours and overflow only; Danielle keeps the desk.</t>
        </is>
      </c>
      <c r="R3" s="8" t="inlineStr">
        <is>
          <t>'We've done it this way for 40 years and a real person answers our phone' / 'Danielle handles the phones' — answer: this only catches what already goes to voicemail after hours or while she is on the other line; hear it first on the demo number before deciding anything. Secondary: 'we just paid for a new website' — the demo uses that site; nothing to rebuild.</t>
        </is>
      </c>
      <c r="S3" s="8" t="inlineStr">
        <is>
          <t>The 2026 website rebuild: the site went from a WordPress 'Tried and True' page (Wayback through 2026-04-17) to a new Duda build with 60+ city/service pages, a '24/7 Rapid Response' emergency-services heading on the homepage and Barry's own email in the footer — a fresh, positive, public thing to reference, and it is exactly where the after-hours gap shows.</t>
        </is>
      </c>
      <c r="T3" s="8" t="inlineStr">
        <is>
          <t>claims_24_7 with no coverage proof: a services-section heading reads '24/7 Rapid Response: Precision Emergency Plumbing &amp; Repairs' (the hero itself reads 'We Solve Your Plumbing Problems!') and the emergency page says 'whether in the middle of the night or during peak hours', yet the contact form promises only 'Someone will be in contact with you in 24 hours or sooner', the new site posts no hours, and the page source has no answering-service, AI-receptionist, or call-tracking script. Old site footer: 'Mon-Sat 24 hours, Sun by appointment' (Wayback 2026-01-15). Who actually picks up after hours: unknown — Sam to ask.</t>
        </is>
      </c>
      <c r="U3" s="9" t="inlineStr"/>
      <c r="V3" s="10" t="inlineStr"/>
      <c r="W3" s="9" t="inlineStr"/>
      <c r="X3" s="10" t="inlineStr"/>
      <c r="Y3" s="9" t="inlineStr"/>
      <c r="Z3" s="10" t="inlineStr"/>
      <c r="AA3" s="11">
        <f>IF(A3="","",IF(OR(V3="Game Plan Call booked",V3="Do not call",V3="Not interested",V3="Email captured (GEO audit)",X3="Game Plan Call booked",X3="Do not call",X3="Not interested",X3="Email captured (GEO audit)",Y3&lt;&gt;""),"Done",IF(W3&lt;&gt;"",W3+3,IF(U3&lt;&gt;"",U3+2,"Call today"))))</f>
        <v/>
      </c>
      <c r="AB3" s="10" t="inlineStr"/>
      <c r="AC3" s="9" t="inlineStr"/>
      <c r="AD3" s="10" t="inlineStr"/>
      <c r="AE3" s="8" t="inlineStr">
        <is>
          <t>https://www.armouredplumbing.com</t>
        </is>
      </c>
      <c r="AF3" s="8" t="inlineStr">
        <is>
          <t>Barry@ArmouredPlumbing.com</t>
        </is>
      </c>
    </row>
    <row r="4" ht="110" customHeight="1">
      <c r="A4" s="8" t="inlineStr">
        <is>
          <t>20261013-03</t>
        </is>
      </c>
      <c r="B4" s="8" t="inlineStr">
        <is>
          <t>Omega Environmental LLC</t>
        </is>
      </c>
      <c r="C4" s="8" t="inlineStr">
        <is>
          <t>Alex Kearson</t>
        </is>
      </c>
      <c r="D4" s="8" t="inlineStr">
        <is>
          <t>Owner / Founder</t>
        </is>
      </c>
      <c r="E4" s="8" t="inlineStr">
        <is>
          <t>+1 904-614-3805</t>
        </is>
      </c>
      <c r="F4" s="8" t="inlineStr">
        <is>
          <t>+1 904-614-3805</t>
        </is>
      </c>
      <c r="G4" s="8" t="inlineStr">
        <is>
          <t>Jacksonville</t>
        </is>
      </c>
      <c r="H4" s="8" t="inlineStr">
        <is>
          <t>FL</t>
        </is>
      </c>
      <c r="I4" s="8" t="inlineStr">
        <is>
          <t>America/New_York (Eastern)</t>
        </is>
      </c>
      <c r="J4" s="8" t="inlineStr">
        <is>
          <t>Tue–Thu 8:00–8:45 AM ET (Florida's 8 AM floor) before he is on a job site; backup 4:30–5:30 PM ET. Reason: the site says texts go to his personal phone and reviews say "Alex never hesitates to pick up the phone", so the main line is effectively the owner's cell - call early, keep it to 20 seconds, and never SMS or auto-dial it.</t>
        </is>
      </c>
      <c r="K4" s="8" t="inlineStr">
        <is>
          <t>Site lists "Monday 24 hours, Tuesday 24 hours, Wednesday 24 hours, Thursday 24 hours, Friday 24 hours, Saturday 24 hours, Sunday 24 hours" and footer "Mon – Fri 24 hours · Saturday 24 hours · Sunday 24 hours" (https://www.omegamold.com/). GBP hours string could not be opened directly.</t>
        </is>
      </c>
      <c r="L4" s="8" t="inlineStr">
        <is>
          <t>No gatekeeper found: no office manager, dispatcher, or staff named on the site, BBB, LinkedIn, or in 20 recent reviews; no answering service credited. The main line +1 904-614-3805 appears to ring Alex directly ("This text goes straight to my personal phone"; reviews: "Alex never hesitates to pick up the phone"). Treat as CELL: manual human dial only, no SMS, no AI voice. If voicemail, leave name, one line about the demo number, and ask for a text-back-friendly time; a second "team member" may answer on-site - ask for Alex by name. OpenCorporates shows 2 active officers (names behind login), so a second decision-maker may exist - ask "is it just you making the call on tools like this?"</t>
        </is>
      </c>
      <c r="M4" s="8" t="n">
        <v>61</v>
      </c>
      <c r="N4" s="8" t="inlineStr">
        <is>
          <t>Growth-Minded Operator (medium confidence); secondary: Overwhelmed Owner-Operator (owner is the one answering, but no reachability complaints found)</t>
        </is>
      </c>
      <c r="O4" s="8" t="inlineStr">
        <is>
          <t>Voice AI live demo built from omegamold.com (generic home-services template: trade = water damage restoration, problem = flooded house / burst pipe at night - swap "basement" for "burst pipe under the kitchen" since NE Florida homes rarely have basements). Pitch it as the answering layer that picks up when Alex is on-site, captures address + cause + insurance carrier, and books the free inspection. Do NOT pitch missed-call text-back or a website - Stone Systems already supplies both.</t>
        </is>
      </c>
      <c r="P4" s="8" t="inlineStr">
        <is>
          <t>"Alex? Sam with Eat 4 Life Marketing - this is a cold call, so feel free to hang up on me. I was on omegamold.com and the text box says messages go straight to your personal phone and you'll reply the second you're free - which means you're the one answering a 24-hour line between remediation jobs. We build an AI receptionist trained on your own site that picks up the water-damage calls you can't take while you're on-site, grabs the address and the carrier, and books the inspection - and you can call a demo number and hear it before you pay a dollar. Can I take 20 seconds to tell you how it works, or is this a bad time?"</t>
        </is>
      </c>
      <c r="Q4" s="8" t="inlineStr">
        <is>
          <t>Relief, not growth, and never framed as a missed-call failure (his reviews say he picks up). Angle: "You answer 24/7 yourself and your reviews prove it - this only takes the calls you physically can't while you're under a house with a negative air machine running. It's a receptionist trained on omegamold.com: qualifies the caller, grabs address, cause and carrier for the insurance intake, books the free inspection, and texts you the summary. Hear it on a demo number before you spend a dollar." Secondary: GEO audit is a natural add-on because the new site is already structured for AI answers.</t>
        </is>
      </c>
      <c r="R4" s="8" t="inlineStr">
        <is>
          <t>"I already pay Stone Systems for the website and missed-call text-back" and "I answer my own phone - read the reviews." Response: nothing on the site changes; this is only the voice layer for calls he can't take live (on-site, after midnight, two emergencies at once); go-live is one conditional call-forward on missed/busy, rollback is one dial code; the demo number lets him hear it first.</t>
        </is>
      </c>
      <c r="S4" s="8" t="inlineStr">
        <is>
          <t>The new website (rebuilt after May 14, 2026 - Wayback still shows the old WordPress site that day) plus the October 2026 run of reviews praising how he personally answers. Open on the fact that the site's own text box promises replies "the second I'm free" - i.e., he is still the receptionist.</t>
        </is>
      </c>
      <c r="T4" s="8" t="inlineStr">
        <is>
          <t>Claims 24/7: "We answer 24 hours a day" (home), hours "Monday 24 hours ... Sunday 24 hours" (site Find Us block). No answering service, call center, or AI receptionist mentioned anywhere on site or in source; the text widget states messages go to the owner's personal phone and he replies "the second I'm free". Contact page sets an email promise of "We respond within 2 business hours." So after-hours coverage = the owner's own phone.</t>
        </is>
      </c>
      <c r="U4" s="9" t="inlineStr"/>
      <c r="V4" s="10" t="inlineStr"/>
      <c r="W4" s="9" t="inlineStr"/>
      <c r="X4" s="10" t="inlineStr"/>
      <c r="Y4" s="9" t="inlineStr"/>
      <c r="Z4" s="10" t="inlineStr"/>
      <c r="AA4" s="11">
        <f>IF(A4="","",IF(OR(V4="Game Plan Call booked",V4="Do not call",V4="Not interested",V4="Email captured (GEO audit)",X4="Game Plan Call booked",X4="Do not call",X4="Not interested",X4="Email captured (GEO audit)",Y4&lt;&gt;""),"Done",IF(W4&lt;&gt;"",W4+3,IF(U4&lt;&gt;"",U4+2,"Call today"))))</f>
        <v/>
      </c>
      <c r="AB4" s="10" t="inlineStr"/>
      <c r="AC4" s="9" t="inlineStr"/>
      <c r="AD4" s="10" t="inlineStr"/>
      <c r="AE4" s="8" t="inlineStr">
        <is>
          <t>https://www.omegamold.com</t>
        </is>
      </c>
      <c r="AF4" s="8" t="inlineStr">
        <is>
          <t>alexkearson@gmail.com</t>
        </is>
      </c>
    </row>
    <row r="5" ht="110" customHeight="1">
      <c r="A5" s="8" t="inlineStr">
        <is>
          <t>20261013-04</t>
        </is>
      </c>
      <c r="B5" s="8" t="inlineStr">
        <is>
          <t>Meridian Roofing and Renovation</t>
        </is>
      </c>
      <c r="C5" s="8" t="inlineStr">
        <is>
          <t>Alex Beers</t>
        </is>
      </c>
      <c r="D5" s="8" t="inlineStr">
        <is>
          <t>Owner</t>
        </is>
      </c>
      <c r="E5" s="8" t="inlineStr">
        <is>
          <t>+1 314-952-4158</t>
        </is>
      </c>
      <c r="F5" s="8" t="inlineStr">
        <is>
          <t>+1 314-952-4158</t>
        </is>
      </c>
      <c r="G5" s="8" t="inlineStr">
        <is>
          <t>St. Louis (Olivette)</t>
        </is>
      </c>
      <c r="H5" s="8" t="inlineStr">
        <is>
          <t>MO</t>
        </is>
      </c>
      <c r="I5" s="8" t="inlineStr">
        <is>
          <t>America/Chicago (Central Time)</t>
        </is>
      </c>
      <c r="J5" s="8" t="inlineStr">
        <is>
          <t>Tue-Thu 7:30-8:15 AM CT, before crews roll (the aggregator lists a 6 AM open, so the owners are up and the office is quiet); fallback 4:15-5:00 PM CT Tue-Thu inside the posted 8-5 window. Reviews say customers deal 'with the Owners and not salespeople', so the main line most likely reaches Alex or Leah directly.</t>
        </is>
      </c>
      <c r="K5" s="8" t="inlineStr">
        <is>
          <t>Contact page: Mon-Fri 8:00 AM-5:00 PM, Sat by appointment, Sun closed (https://buildmeridian.com/contact/). CONFLICT: site JSON-LD says Mon-Sun 06:00-21:00 and the Birdeye/Google aggregator shows 6:00 AM-8:00 PM Mon-Sun; storm page claims '24-hour emergency response'. Re-verify on GBP.</t>
        </is>
      </c>
      <c r="L5" s="8" t="inlineStr">
        <is>
          <t>No office manager or dispatcher named anywhere public. Reviews indicate the owners handle customers directly ('Loved dealing with the Owners and not salespeople'); a second person, 'Leah', is thanked in two reviews ('Alex and Leah were great to work with', 'Thank you, Leah and team') - role not published, so if Leah answers, treat her as a decision-maker, not a gatekeeper. No answering service, IVR, or AI detected; Sam should record who answers (human/voicemail) on the first dial. Owner cell not published; the only line is +1 314-952-4158. Email is Alex's own mailbox (alex@buildmeridian.com), so Sebastian's email goes straight to him.</t>
        </is>
      </c>
      <c r="M5" s="8" t="n">
        <v>61</v>
      </c>
      <c r="N5" s="8" t="inlineStr">
        <is>
          <t>Growth-Minded Operator (medium confidence; secondary: Overwhelmed Owner-Operator)</t>
        </is>
      </c>
      <c r="O5" s="8" t="inlineStr">
        <is>
          <t>Voice AI live demo line built from buildmeridian.com (phone-first, D2 = 15, site scrapable - demo_build = yes), paired with missed-call text-back; run the free GEO audit as the second touch since schema is already present.</t>
        </is>
      </c>
      <c r="P5" s="8" t="inlineStr">
        <is>
          <t>Hi, is this Alex? Alex, this is Sam with Eat 4 Life Marketing - this is a cold call, so I'll be quick. I was on buildmeridian.com and saw you promise emergency tarping within two to four hours, but your contact page shows Monday through Friday, eight to five. We build an AI receptionist trained on your own site that picks up the calls that hit voicemail while you're on a roof, qualifies the homeowner, and books the inspection - and you can call the demo line and hear Meridian answered before you pay a dollar. Can I take twenty seconds to tell you how it works, and then you tell me if it's worth a look?</t>
        </is>
      </c>
      <c r="Q5" s="8" t="inlineStr">
        <is>
          <t>Missed-call / after-hours coverage. Meridian sells emergency response ('24-hour emergency response', 'emergency tarping within 2-4 hours') on a ~5-person, owner-run crew with one phone line, no chat or text, and posted hours of Mon-Fri 8-5. The storm-season caller who hits voicemail dials the next roofer. Offer the demo line trained on their own site so Alex can hear Meridian answered, qualified, and booked while he is on a roof; go-live is one conditional call-forwarding rule.</t>
        </is>
      </c>
      <c r="R5" s="8" t="inlineStr">
        <is>
          <t>'We answer our own phones - customers like dealing with the owners, not salespeople' (a real brand point in their reviews). Response: that is exactly why it only takes the calls that already go to voicemail or ring out, after hours and mid-job; nothing changes for the calls Alex and Leah already pick up, and the caller still reaches 'Meridian', trained on their own story.</t>
        </is>
      </c>
      <c r="S5" s="8" t="inlineStr">
        <is>
          <t>The site's own contradiction: the storm-damage page promises '24-hour emergency response' and 'emergency tarping within 2-4 hours' (https://buildmeridian.com/services/storm-damage-roofing-st-louis-mo/) while the contact page lists Mon-Fri 8-5, Sat by appointment, Sun closed and says 'We typically respond within one business day' (https://buildmeridian.com/contact/). Secondary: the site is being actively rebuilt - 100 pages, several modified 2026-10-05 to 2026-10-13, blog posts Mar-May 2026 (WP REST API).</t>
        </is>
      </c>
      <c r="T5" s="8" t="inlineStr">
        <is>
          <t>Not stated anywhere. Site advertises '24-hour emergency response' and 'Call 314-952-4158 For Emergency Service' (storm page) but the contact page posts Mon-Fri 8-5 / Sun closed and 'We typically respond within one business day'; no answering service, call center, or AI receptionist mentioned on site, BBB, Birdeye, or in page source.</t>
        </is>
      </c>
      <c r="U5" s="9" t="inlineStr"/>
      <c r="V5" s="10" t="inlineStr"/>
      <c r="W5" s="9" t="inlineStr"/>
      <c r="X5" s="10" t="inlineStr"/>
      <c r="Y5" s="9" t="inlineStr"/>
      <c r="Z5" s="10" t="inlineStr"/>
      <c r="AA5" s="11">
        <f>IF(A5="","",IF(OR(V5="Game Plan Call booked",V5="Do not call",V5="Not interested",V5="Email captured (GEO audit)",X5="Game Plan Call booked",X5="Do not call",X5="Not interested",X5="Email captured (GEO audit)",Y5&lt;&gt;""),"Done",IF(W5&lt;&gt;"",W5+3,IF(U5&lt;&gt;"",U5+2,"Call today"))))</f>
        <v/>
      </c>
      <c r="AB5" s="10" t="inlineStr"/>
      <c r="AC5" s="9" t="inlineStr"/>
      <c r="AD5" s="10" t="inlineStr"/>
      <c r="AE5" s="8" t="inlineStr">
        <is>
          <t>https://buildmeridian.com</t>
        </is>
      </c>
      <c r="AF5" s="8" t="inlineStr">
        <is>
          <t>alex@buildmeridian.com</t>
        </is>
      </c>
    </row>
    <row r="6" ht="110" customHeight="1">
      <c r="A6" s="8" t="inlineStr">
        <is>
          <t>20261013-05</t>
        </is>
      </c>
      <c r="B6" s="8" t="inlineStr">
        <is>
          <t>Fisher HVAC</t>
        </is>
      </c>
      <c r="C6" s="8" t="inlineStr">
        <is>
          <t>Brian Fisher</t>
        </is>
      </c>
      <c r="D6" s="8" t="inlineStr">
        <is>
          <t>Owner</t>
        </is>
      </c>
      <c r="E6" s="8" t="inlineStr">
        <is>
          <t>+1 801-448-1956</t>
        </is>
      </c>
      <c r="F6" s="8" t="inlineStr">
        <is>
          <t>+1 801-448-1956</t>
        </is>
      </c>
      <c r="G6" s="8" t="inlineStr">
        <is>
          <t>Salt Lake City</t>
        </is>
      </c>
      <c r="H6" s="8" t="inlineStr">
        <is>
          <t>UT</t>
        </is>
      </c>
      <c r="I6" s="8" t="inlineStr">
        <is>
          <t>America/Denver — Mountain Time (MDT through Nov 1, 2026; UTC-6)</t>
        </is>
      </c>
      <c r="J6" s="8" t="inlineStr">
        <is>
          <t>Tue–Thu 7:45–8:30 AM MT, right at opening before he heads to the first job — reviews say Brian personally answers the line ("Brian answered the call") and is on jobs during the day, so first thing is the window; backup 4:15–5:00 PM MT. Mid-October is furnace season in SLC, so keep it to the 20-second ask.</t>
        </is>
      </c>
      <c r="K6" s="8" t="inlineStr">
        <is>
          <t>Monday–Friday 8:00 AM–5:00 PM (site footer and Contact page); GBP mirror: "Monday through Friday, 8 AM–5 PM. Saturday and Sunday are listed as Closed." Site also advertises "24/7 Emergency Service" (header/footer/homepage emergency box).</t>
        </is>
      </c>
      <c r="L6" s="8" t="inlineStr">
        <is>
          <t>No gatekeeper identified. Reviews indicate Brian answers the main line himself ("Brian answered the call" — https://fisherhvacslc.com/reviews/). Jodi is named on the About page as co-founder ("Brian and Jodi decided to create a business") and may also pick up — treat as a co-decision-maker, not a gatekeeper. No office manager, dispatcher, or answering service found on the site, GBP mirror, or page source. If voicemail: it is likely Brian's own box; leave the demo number and the 20-second version. Main line is a business line per site/GBP; line type not checked — treat as human-dial only.</t>
        </is>
      </c>
      <c r="M6" s="8" t="n">
        <v>60</v>
      </c>
      <c r="N6" s="8" t="inlineStr">
        <is>
          <t>Overwhelmed Owner-Operator (medium confidence; secondary: Growth-Minded Operator on the new-site + financing signals). Caveat: reviews currently PRAISE responsiveness, so the pitch is coverage for the calls he physically cannot take, not "you're missing calls".</t>
        </is>
      </c>
      <c r="O6" s="8" t="inlineStr">
        <is>
          <t>Voice AI live demo line built from fisherhvacslc.com, framed as after-hours/on-the-job overflow for first-freeze furnace calls (never as replacing Brian on the phone) + missed-call text-back. Door-opener: demo number. demo_build = yes (D2 = 15, site scrapable). run_geo_audit = not yet — run the 3 HVAC money questions first, then offer the free audit as ask #2.</t>
        </is>
      </c>
      <c r="P6" s="8" t="inlineStr">
        <is>
          <t>"Hi Brian, this is Sam with Eat 4 Life Marketing — this is a cold call, so feel free to hang up on me. I was on your new site last week and the 24/7 Emergency banner stood out, because Google still shows you closed after five and on weekends. We build a phone receptionist trained on your own company that picks up the no-heat calls that ring out while you're on a job, books them, and texts back every missed call — and we build you a demo line you can call before you pay a dollar. Can I take 20 seconds to tell you how it works, and you tell me if it's worth a 20-minute call with Sebastian?"</t>
        </is>
      </c>
      <c r="Q6" s="8" t="inlineStr">
        <is>
          <t>Relief, not growth. Your reviews say Brian picks up the phone himself — and he can't while he's under a furnace at 7pm in November. We built a receptionist trained on fisherhvacslc.com that answers the no-heat calls that already ring out, gets name/number/problem/urgency, books the visit, and texts back every missed call in under a minute. Go-live is one conditional call-forwarding rule for missed/busy calls; rollback is one dial code. Hear it before you pay a dollar: [demo number]. Bonus value on the call: his Google listing is still unclaimed — point it out, it costs nothing and proves we looked.</t>
        </is>
      </c>
      <c r="R6" s="8" t="inlineStr">
        <is>
          <t>"I answer my own phone — it's just me and a couple guys, I don't need that." Response: that is exactly why it fits — it only takes the calls that already go to voicemail when you're on a job or after 5, you still answer everything you can, and nothing changes on your end except a forwarding rule you can turn off with one dial code. Secondary objections: small-shop budget (steer to Game Plan Call, no numbers on the phone) and veteran directness/skepticism of "marketing guys" (lead with the demo number, zero hype, no promised results).</t>
        </is>
      </c>
      <c r="S6" s="8" t="inlineStr">
        <is>
          <t>The brand-new website (rebuilt Sept 10–16, 2026 per sitemap lastmod; 78 image assets dated /uploads/2026/09/) that puts "24/7 Emergency Service" in the header while the Contact page says "Call us during business hours for the fastest service" and Google still shows Mon–Fri 8–5, weekends closed. Safe, recent, specific, and about his phone process — not about a complaint.</t>
        </is>
      </c>
      <c r="T6" s="8" t="inlineStr">
        <is>
          <t>claims_24_7 with no coverage proof: site header/footer "24/7 Emergency Service"; homepage "Emergency heating and cooling problems do not keep business hours. Call (801) 448-1956"; Contact page "Call us during business hours for the fastest service"; GBP hours Mon–Fri 8–5, Sat/Sun closed. No answering service, call center, or AI receptionist mentioned anywhere on site, GBP mirror, or page source.</t>
        </is>
      </c>
      <c r="U6" s="9" t="inlineStr"/>
      <c r="V6" s="10" t="inlineStr"/>
      <c r="W6" s="9" t="inlineStr"/>
      <c r="X6" s="10" t="inlineStr"/>
      <c r="Y6" s="9" t="inlineStr"/>
      <c r="Z6" s="10" t="inlineStr"/>
      <c r="AA6" s="11">
        <f>IF(A6="","",IF(OR(V6="Game Plan Call booked",V6="Do not call",V6="Not interested",V6="Email captured (GEO audit)",X6="Game Plan Call booked",X6="Do not call",X6="Not interested",X6="Email captured (GEO audit)",Y6&lt;&gt;""),"Done",IF(W6&lt;&gt;"",W6+3,IF(U6&lt;&gt;"",U6+2,"Call today"))))</f>
        <v/>
      </c>
      <c r="AB6" s="10" t="inlineStr"/>
      <c r="AC6" s="9" t="inlineStr"/>
      <c r="AD6" s="10" t="inlineStr"/>
      <c r="AE6" s="8" t="inlineStr">
        <is>
          <t>https://fisherhvacslc.com</t>
        </is>
      </c>
      <c r="AF6" s="8" t="inlineStr">
        <is>
          <t>fisherhvac1@gmail.com</t>
        </is>
      </c>
    </row>
    <row r="7" ht="110" customHeight="1">
      <c r="A7" s="8" t="inlineStr">
        <is>
          <t>20261013-06</t>
        </is>
      </c>
      <c r="B7" s="8" t="inlineStr">
        <is>
          <t>Zimmerman Electric Indy, LLC</t>
        </is>
      </c>
      <c r="C7" s="8" t="inlineStr">
        <is>
          <t>Zach Zimmerman</t>
        </is>
      </c>
      <c r="D7" s="8" t="inlineStr">
        <is>
          <t>Founder/Co-Owner | Master Electrician</t>
        </is>
      </c>
      <c r="E7" s="8" t="inlineStr">
        <is>
          <t>+1 317-939-9197</t>
        </is>
      </c>
      <c r="F7" s="8" t="inlineStr">
        <is>
          <t>+1 317-939-9197 (published on site + BBB; page source loads cdn.callrail.com swap.js so this is a CallRail tracking number). GBP / JSON-LD number: +1 317-961-8331. A third number, 317-754-7637, appears in the panel-upgrade page FAQ (likely another tracking line).</t>
        </is>
      </c>
      <c r="G7" s="8" t="inlineStr">
        <is>
          <t>Indianapolis</t>
        </is>
      </c>
      <c r="H7" s="8" t="inlineStr">
        <is>
          <t>IN</t>
        </is>
      </c>
      <c r="I7" s="8" t="inlineStr">
        <is>
          <t>America/Indiana/Indianapolis (Eastern Time)</t>
        </is>
      </c>
      <c r="J7" s="8" t="inlineStr">
        <is>
          <t>Tue-Thu 7:30-8:15 AM ET, right at open before crews dispatch (hours "Mon-Fri: 7:30am - 4:30pm" on site and GBP aggregators); fallback 3:30-4:30 PM ET when techs are wrapping and the office is still staffed. Ask for Zach or for Craig Palmer (Business Manager) if Zach is in the field. Avoid weekends (closed) and the 4:30-5:00 PM gap where their own pages disagree on closing time.</t>
        </is>
      </c>
      <c r="K7" s="8" t="inlineStr">
        <is>
          <t>Mon-Fri 7:30am-4:30pm, Sat &amp; Sun Closed (site footer + GBP aggregators); site Contact FAQ says Mon-Fri 7:30 AM-5:00 PM; JSON-LD says 09:00-17:00</t>
        </is>
      </c>
      <c r="L7" s="8" t="inlineStr">
        <is>
          <t>Office line 317-939-9197 is a CallRail tracking number (the GBP line is 317-961-8331). Reviews name "Hilary" as the scheduler who "got us on the books" and "was a pleasure to deal with and very responsive" (Leadstal excerpts) - she most likely answers; be friendly, she is the person the pitch must not threaten. Second-in-command per site: Craig Palmer, Business Manager (handles "first call to final inspection documentation") and Matthew Williams, Director of Operations / Master Electrician. Co-owner Kara Zimmerman "co-manages the business" and is a legitimate decision-maker if Zach is on a job. No owner cell published. No answering service or IVR mentioned; expect voicemail outside 7:30-4:30.</t>
        </is>
      </c>
      <c r="M7" s="8" t="n">
        <v>59</v>
      </c>
      <c r="N7" s="8" t="inlineStr">
        <is>
          <t>Growth-Minded Operator (medium confidence; secondary: Tech-Forward Early Adopter)</t>
        </is>
      </c>
      <c r="O7" s="8" t="inlineStr">
        <is>
          <t>Voice AI live demo built from zimmermanelectricindy.com (after-hours/overflow receptionist for the "24/7 dispatch" promise), paired with missed-call text-back; GEO audit as the second touch once the spot-check is run.</t>
        </is>
      </c>
      <c r="P7" s="8" t="inlineStr">
        <is>
          <t>"Hi, is this Zach? Zach, this is Sam with Eat 4 Life Marketing - full transparency, this is a cold call, so you're welcome to hang up on me. I was on zimmermanelectricindy.com last night: your contact page tells someone with a smoking outlet to call you for 24/7 dispatch, but the hours right under it say closed after 4:30 and all weekend, so I got curious who's picking up that Saturday-night call. We build an AI receptionist trained on your own company that answers those after-hours calls, triages the emergencies, and books the estimate - and we already built a demo line off your site you can call and try to break. Can I take 20 seconds to tell you how it works, and you tell me if it's worth a longer look?"</t>
        </is>
      </c>
      <c r="Q7" s="8" t="inlineStr">
        <is>
          <t>Missed-call / after-hours gap. They advertise "24/7 dispatch" for life-safety emergencies on a Mon-Fri 7:30-4:30 shop, sell $1,500-$15k panel and EV jobs, and already pay CallRail to count calls. Pitch: an AI receptionist trained on their own site that answers the nights-and-weekends calls Hilary cannot, triages burning-smell emergencies, and books the estimate; go-live is one conditional call-forwarding rule. Do not position it as replacing Hilary or the office. Secondary angle: if they say GHL already texts back missed calls, pivot to the free AI-visibility audit for "EV charger installer / emergency electrician Indianapolis."</t>
        </is>
      </c>
      <c r="R7" s="8" t="inlineStr">
        <is>
          <t>"We already have a system - our site has chat and we have a scheduler who's on top of it." (Evidence: GHL chat widget + CallRail + HubSpot stack; reviews praise Hilary's responsiveness.) Answer: this is only for the calls that come in after 4:30 and on weekends, when the site itself promises 24/7 dispatch; it books straight into what they already use and can be rolled back with one dial code. Also expect: "we're a Christian family business, we don't want a robot talking to customers" - offer the demo number so Zach can hear it and try to break it (the niche playbook says electricians will).</t>
        </is>
      </c>
      <c r="S7" s="8" t="inlineStr">
        <is>
          <t>The "24/7 dispatch" promise on the Contact page vs. the Mon-Fri 7:30-4:30 hours directly beneath it (https://www.zimmermanelectricindy.com/contact-us) - a neutral, verifiable observation about their own phone process, freshly paired with the Sep 28-29, 2026 content push that shows they are actively chasing EV and panel work.</t>
        </is>
      </c>
      <c r="T7" s="8" t="inlineStr">
        <is>
          <t>claims_24_7 with hours_only coverage: Contact page says "24/7 dispatch" / "24/7 emergency services" but published hours are Mon-Fri 7:30am-4:30pm, Sat &amp; Sun Closed; no answering service, IVR, or AI receptionist mentioned on site or in page source.</t>
        </is>
      </c>
      <c r="U7" s="9" t="inlineStr"/>
      <c r="V7" s="10" t="inlineStr"/>
      <c r="W7" s="9" t="inlineStr"/>
      <c r="X7" s="10" t="inlineStr"/>
      <c r="Y7" s="9" t="inlineStr"/>
      <c r="Z7" s="10" t="inlineStr"/>
      <c r="AA7" s="11">
        <f>IF(A7="","",IF(OR(V7="Game Plan Call booked",V7="Do not call",V7="Not interested",V7="Email captured (GEO audit)",X7="Game Plan Call booked",X7="Do not call",X7="Not interested",X7="Email captured (GEO audit)",Y7&lt;&gt;""),"Done",IF(W7&lt;&gt;"",W7+3,IF(U7&lt;&gt;"",U7+2,"Call today"))))</f>
        <v/>
      </c>
      <c r="AB7" s="10" t="inlineStr"/>
      <c r="AC7" s="9" t="inlineStr"/>
      <c r="AD7" s="10" t="inlineStr"/>
      <c r="AE7" s="8" t="inlineStr">
        <is>
          <t>https://www.zimmermanelectricindy.com</t>
        </is>
      </c>
      <c r="AF7" s="8" t="inlineStr">
        <is>
          <t>scheduling@zimmermanelectricindy.com</t>
        </is>
      </c>
    </row>
    <row r="8" ht="110" customHeight="1">
      <c r="A8" s="8" t="inlineStr">
        <is>
          <t>20261013-07</t>
        </is>
      </c>
      <c r="B8" s="8" t="inlineStr">
        <is>
          <t>Smart Move Property Management</t>
        </is>
      </c>
      <c r="C8" s="8" t="inlineStr">
        <is>
          <t>Andrea Mayer</t>
        </is>
      </c>
      <c r="D8" s="8" t="inlineStr">
        <is>
          <t>President</t>
        </is>
      </c>
      <c r="E8" s="8" t="inlineStr">
        <is>
          <t>+1 208-906-0196</t>
        </is>
      </c>
      <c r="F8" s="8" t="inlineStr">
        <is>
          <t>+1 208-906-0196</t>
        </is>
      </c>
      <c r="G8" s="8" t="inlineStr">
        <is>
          <t>Boise</t>
        </is>
      </c>
      <c r="H8" s="8" t="inlineStr">
        <is>
          <t>ID</t>
        </is>
      </c>
      <c r="I8" s="8" t="inlineStr">
        <is>
          <t>America/Boise (Mountain Time, MT)</t>
        </is>
      </c>
      <c r="J8" s="8" t="inlineStr">
        <is>
          <t>Tue-Thu 9:30-11:00 AM MT, shortly after the 9 AM open and before the leasing/maintenance call load builds; dial the main line +1 208-906-0196 and ask for ext. 100 (Andrea's published direct extension, https://www.smartmovepm.com/andrea-mayer). Fallback: 2:00-3:30 PM MT before the 4 PM close. Office is closed weekends, so no Fri-afternoon or Monday-morning attempts.</t>
        </is>
      </c>
      <c r="K8" s="8" t="inlineStr">
        <is>
          <t>Site contact page verbatim: "Our Boise office at 2645 N Cole Rd, Ste A is open Monday-Friday 9AM to 4PM." (https://www.smartmovepm.com/contact-us). Site JSON-LD openingHoursSpecification says Mon-Fri 09:00-17:00 (minor conflict). After-hours maintenance emergency line published: 402.512.6423. GBP hours string not opened.</t>
        </is>
      </c>
      <c r="L8" s="8" t="inlineStr">
        <is>
          <t>Site says "Every message here reaches a real person in our Boise office" (contact-us); no answering service or IVR vendor found. Likely first voice: Ian Pilongo, Administrative Assistant ("keeps applications, move-ins, records... on schedule") or Jennifer Brey, Operations Specialist ("keeps the systems behind all of it running smoothly") — both on https://www.smartmovepm.com/meet-our-team. Tamara Garcia (Assistant PM) handles repairs/emergencies; Kelly Russell is Lead PM/leasing — not the buyer. Get-through: ask for "Andrea, extension 100" by name (her published direct ext.). After-hours line 402-512-6423 is for maintenance emergencies only — do not call it. No owner cell published.</t>
        </is>
      </c>
      <c r="M8" s="8" t="n">
        <v>59</v>
      </c>
      <c r="N8" s="8" t="inlineStr">
        <is>
          <t>Tech-Forward Early Adopter (primary); Growth-Minded Operator (secondary) — confidence medium</t>
        </is>
      </c>
      <c r="O8" s="8" t="inlineStr">
        <is>
          <t>Voice AI live demo built from smartmovepm.com — after-hours and overflow coverage for the main line: leasing inquiries, maintenance calls (route true emergencies to their published 402 line / Property Meld), and landlord "Free Rental Analysis" callers qualified and booked. Pair with missed-call text-back. Do NOT lead with the GEO audit or a site rebuild (ClearLead already supplies both).</t>
        </is>
      </c>
      <c r="P8" s="8" t="inlineStr">
        <is>
          <t>"Hi Andrea, this is Sam with Eat 4 Life Marketing — full transparency, this is a cold call, so feel free to hang up on me. I was on smartmovepm.com: the office runs nine to four, the site promises 24/7 emergency response, and your own blog tells owners to ask a property manager how after-hours calls get handled. We build an AI receptionist trained on a property manager's own website — it picks up the leasing and landlord calls that hit your main line after four or when all five of you are on the phone, qualifies the caller, books them, and sends real emergencies to the number you already publish. We'd build a demo line for Smart Move you can call before you ever pay a dollar. Can I take twenty seconds to tell you how it works, and you tell me if it's worth a longer look?"</t>
        </is>
      </c>
      <c r="Q8" s="8" t="inlineStr">
        <is>
          <t>She already tells owners to ask a PM "How are after-hours calls handled?" — so ask her the same question about the main line after 4 PM and when all five people are on calls. Position voice AI as the missing layer on top of Rent Manager and Property Meld: it answers the leasing and owner-inquiry calls that hit 208-906-0196 outside 9-4, qualifies the caller, books or routes, and hands true maintenance emergencies to the number she already publishes. Proof lever: a demo line trained on smartmovepm.com she can call before paying. Ask #1: 20-minute Game Plan Call.</t>
        </is>
      </c>
      <c r="R8" s="8" t="inlineStr">
        <is>
          <t>"We already have an after-hours emergency number and Property Meld for repairs, and ClearLead handles our marketing." Answer: this doesn't touch either — ClearLead stays on the site and search; Meld stays on repairs; the AI only covers calls to the main office line that nobody can pick up (after 4, weekends, all lines busy), especially landlord inquiries and leasing calls, and go-live is one conditional call-forwarding rule with a one-dial-code rollback. Secondary objection: "our reviews say we're responsive" — agree, and frame it as protecting that reputation on the calls that currently go to voicemail.</t>
        </is>
      </c>
      <c r="S8" s="8" t="inlineStr">
        <is>
          <t>The brand-new site and blog push: every page on the sitemap carries lastmod Sep 4-Oct 13 2026 and 17+ blog posts are dated Aug 12-Oct 9 2026, including "Best Property Managers in Boise" under Andrea's byline that tells owners to ask a prospective PM "How are after-hours calls handled?" (https://www.smartmovepm.com/blog/best-property-managers-in-boise). Secondary: 20 years / Boise Favorites 2025.</t>
        </is>
      </c>
      <c r="T8" s="8" t="inlineStr">
        <is>
          <t>claims_24_7 with a separate published emergency line: home page "24/7 emergency response with trusted, vetted local vendors"; services page "responds to emergencies 24/7"; contact page "For an after-hours maintenance emergency, call 402.512.6423" (also in JSON-LD as contactType "emergency"). Office "Monday through Friday from 9 AM to 4 PM". Who answers the 402 line (staff cell, vendor, answering service) is not stated anywhere; main line after 4 PM = unknown/likely voicemail (not verified). No answering-service or AI-receptionist vendor in page source.</t>
        </is>
      </c>
      <c r="U8" s="9" t="inlineStr"/>
      <c r="V8" s="10" t="inlineStr"/>
      <c r="W8" s="9" t="inlineStr"/>
      <c r="X8" s="10" t="inlineStr"/>
      <c r="Y8" s="9" t="inlineStr"/>
      <c r="Z8" s="10" t="inlineStr"/>
      <c r="AA8" s="11">
        <f>IF(A8="","",IF(OR(V8="Game Plan Call booked",V8="Do not call",V8="Not interested",V8="Email captured (GEO audit)",X8="Game Plan Call booked",X8="Do not call",X8="Not interested",X8="Email captured (GEO audit)",Y8&lt;&gt;""),"Done",IF(W8&lt;&gt;"",W8+3,IF(U8&lt;&gt;"",U8+2,"Call today"))))</f>
        <v/>
      </c>
      <c r="AB8" s="10" t="inlineStr"/>
      <c r="AC8" s="9" t="inlineStr"/>
      <c r="AD8" s="10" t="inlineStr"/>
      <c r="AE8" s="8" t="inlineStr">
        <is>
          <t>https://www.smartmovepm.com</t>
        </is>
      </c>
      <c r="AF8" s="8" t="inlineStr">
        <is>
          <t>andrea@smartmovepm.com</t>
        </is>
      </c>
    </row>
    <row r="9" ht="110" customHeight="1">
      <c r="A9" s="8" t="inlineStr">
        <is>
          <t>20261013-08</t>
        </is>
      </c>
      <c r="B9" s="8" t="inlineStr">
        <is>
          <t>Kemly Electric, Inc.</t>
        </is>
      </c>
      <c r="C9" s="8" t="inlineStr">
        <is>
          <t>Adam Kemly</t>
        </is>
      </c>
      <c r="D9" s="8" t="inlineStr">
        <is>
          <t>Owner</t>
        </is>
      </c>
      <c r="E9" s="8" t="inlineStr">
        <is>
          <t>+1 206-782-1670</t>
        </is>
      </c>
      <c r="F9" s="8" t="inlineStr">
        <is>
          <t>+1 206-782-1670</t>
        </is>
      </c>
      <c r="G9" s="8" t="inlineStr">
        <is>
          <t>Seattle (Ballard)</t>
        </is>
      </c>
      <c r="H9" s="8" t="inlineStr">
        <is>
          <t>WA</t>
        </is>
      </c>
      <c r="I9" s="8" t="inlineStr">
        <is>
          <t>America/Los_Angeles (Pacific Time)</t>
        </is>
      </c>
      <c r="J9" s="8" t="inlineStr">
        <is>
          <t>Tue-Thu 7:30-8:15 AM PT, the first 45 minutes the office line is staffed and before crews dispatch (site lists office hours starting 7:30; a 35-year family shop with the owners' names on the door usually has an owner in the office at open). Backup window: 2:15-3:00 PM PT before the office closes at 3:00. Do not call after 3:00 PM PT; the site says weekends are emergency-only, so no weekend dials.</t>
        </is>
      </c>
      <c r="K9" s="8" t="inlineStr">
        <is>
          <t>Site Contact page verbatim: 'M-F: 7:30am – 3pm' and 'S-S: Emergency Services Only'; Commercial page: 'Our office is open 7:30 AM – 3:00 PM, Monday – Friday.' GBP (serviceagent.ai mirror): Mon-Fri 7:30 AM-3:30 PM; Saturday Closed; Sunday Closed. Site also says 'For emergency service in the greater Seattle area, 24 hours a day, call (206) 782-1670.'</t>
        </is>
      </c>
      <c r="L9" s="8" t="inlineStr">
        <is>
          <t>Only published number is the office line +1 206-782-1670 (site, BBB, Checkbook, GBP mirror agree); site says 'Office: 7:30 AM to 3:00 PM, Monday through Friday', so expect office staff to answer in hours. No office manager, dispatcher, or scheduler is named anywhere public (site, LinkedIn company page, Checkbook, BBB); no answering service named; after-hours handling unstated. Ask for 'Adam or Chris Kemly' by name; if asked what it's regarding, say 'their after-hours phone line — I'm not selling anything on this call, just want 20 seconds with one of the owners.' If the owners are in the field, ask when they are usually in the office (likely open and close) rather than leaving a message with info@. Do not call outside 7:30-3:00 PT weekdays; the site says weekends are emergency-only and WA has mini-TCPA rules, so manual dial only.</t>
        </is>
      </c>
      <c r="M9" s="8" t="n">
        <v>57</v>
      </c>
      <c r="N9" s="8" t="inlineStr">
        <is>
          <t>Family-Legacy Pride Brand (secondary: Overwhelmed Owner-Operator cues unverified; review replies unreadable this run)</t>
        </is>
      </c>
      <c r="O9" s="8" t="inlineStr">
        <is>
          <t>Voice AI live demo built from kemlyelectric.com, positioned as after-hours and overflow coverage for the 24/7 emergency line (never as replacing the office); missed-call text-back as the second piece. Hold the GEO audit until it has actually been run.</t>
        </is>
      </c>
      <c r="P9" s="8" t="inlineStr">
        <is>
          <t>"Hi, is this Adam? Adam, it's Sam with Eat 4 Life Marketing — this is a cold call, so you're welcome to hang up on me. I was on kemlyelectric.com this morning: your office runs 7:30 to 3, weekends are emergency-only, but the homepage promises 24/7 — so I got curious who's catching the panel and EV-charger calls that come in after three. We build a receptionist trained on Kemly's own site that picks up the calls that would hit voicemail, qualifies the caller, and books the estimate — and there's a demo line you can call and try to break before anybody pays a dollar. Can I take 20 seconds to tell you how it works, and you tell me if it's worth a longer look?"</t>
        </is>
      </c>
      <c r="Q9" s="8" t="inlineStr">
        <is>
          <t>Missed-call / after-hours coverage, framed as protecting the Kemly name into its second generation. Lead with their own site's gap (office 7:30-3:00, weekends emergency-only, '24/7' on the homepage), then the proof lever: a demo line trained on kemlyelectric.com they can call and try to break before paying anything. Go-live is one conditional call-forwarding rule for missed/busy calls; rollback is one dial code. Keep it technical and plain, no hype, no 'AI' in the first sentence. Ask #1: 20-minute Game Plan Call with Sebastian. Ask #2: an email address for the free AI-visibility audit (run it first).</t>
        </is>
      </c>
      <c r="R9" s="8" t="inlineStr">
        <is>
          <t>'Our office answers during the day and emergencies go to a tech's phone — we're not missing much.' Response: agree, then ask how after-3 PM and weekend calls get captured and booked today, and offer the demo number as a no-cost way to hear it. Secondary: price sensitivity (small-team electrical shop per niche playbook) — no numbers on the call; route to the Game Plan Call. Tertiary: 'we don't want a robot answering for a family business' — position as after-hours/overflow only, trained on their own 35-year story.</t>
        </is>
      </c>
      <c r="S9" s="8" t="inlineStr">
        <is>
          <t>The 2024 handoff from Brian and Kathleen to Adam and Chris (site About) is the safest, most specific opener: a second-generation owner deciding how the next 30 years of the Kemly name get answered. Pair it with the after-hours gap on their own Contact page (office 7:30-3:00, weekends emergency-only, homepage says 24/7).</t>
        </is>
      </c>
      <c r="T9" s="8" t="inlineStr">
        <is>
          <t>GAP (direct). Homepage: 'Contact us anytime for emergency service or electrical repairs that you need 24/7' (https://www.kemlyelectric.com/). Contact page verbatim: 'M-F: 7:30am – 3pm', 'S-S: Emergency Services Only', 'For emergency service in the greater Seattle area, 24 hours a day, call (206) 782-1670' (https://www.kemlyelectric.com/contact/). Commercial page: 'Our office is open 7:30 AM – 3:00 PM, Monday – Friday.' GBP mirror hours Mon-Fri 7:30-3:30, Sat/Sun Closed (https://serviceagent.ai/directory/washington/seattle/electrician/kemly-electric/). No answering service, call center, AI receptionist, or after-hours line named anywhere on site. Who picks up the 24/7 line after 3 PM is unstated.</t>
        </is>
      </c>
      <c r="U9" s="9" t="inlineStr"/>
      <c r="V9" s="10" t="inlineStr"/>
      <c r="W9" s="9" t="inlineStr"/>
      <c r="X9" s="10" t="inlineStr"/>
      <c r="Y9" s="9" t="inlineStr"/>
      <c r="Z9" s="10" t="inlineStr"/>
      <c r="AA9" s="11">
        <f>IF(A9="","",IF(OR(V9="Game Plan Call booked",V9="Do not call",V9="Not interested",V9="Email captured (GEO audit)",X9="Game Plan Call booked",X9="Do not call",X9="Not interested",X9="Email captured (GEO audit)",Y9&lt;&gt;""),"Done",IF(W9&lt;&gt;"",W9+3,IF(U9&lt;&gt;"",U9+2,"Call today"))))</f>
        <v/>
      </c>
      <c r="AB9" s="10" t="inlineStr"/>
      <c r="AC9" s="9" t="inlineStr"/>
      <c r="AD9" s="10" t="inlineStr"/>
      <c r="AE9" s="8" t="inlineStr">
        <is>
          <t>https://www.kemlyelectric.com</t>
        </is>
      </c>
      <c r="AF9" s="8" t="inlineStr">
        <is>
          <t>info@kemlyelectric.com</t>
        </is>
      </c>
    </row>
    <row r="10" ht="110" customHeight="1">
      <c r="A10" s="8" t="inlineStr">
        <is>
          <t>20261013-09</t>
        </is>
      </c>
      <c r="B10" s="8" t="inlineStr">
        <is>
          <t>Kaufman Roofing</t>
        </is>
      </c>
      <c r="C10" s="8" t="inlineStr">
        <is>
          <t>Robert Kaufman</t>
        </is>
      </c>
      <c r="D10" s="8" t="inlineStr">
        <is>
          <t>Owner/President</t>
        </is>
      </c>
      <c r="E10" s="8" t="inlineStr">
        <is>
          <t>+1 612-722-0965</t>
        </is>
      </c>
      <c r="F10" s="8" t="inlineStr">
        <is>
          <t>+1 612-722-0965</t>
        </is>
      </c>
      <c r="G10" s="8" t="inlineStr">
        <is>
          <t>Burnsville (serves Minneapolis-St. Paul metro)</t>
        </is>
      </c>
      <c r="H10" s="8" t="inlineStr">
        <is>
          <t>MN</t>
        </is>
      </c>
      <c r="I10" s="8" t="inlineStr">
        <is>
          <t>America/Chicago (Central)</t>
        </is>
      </c>
      <c r="J10" s="8" t="inlineStr">
        <is>
          <t>Tue-Thu 7:30-8:30 AM CT (trades window, before estimators and crews dispatch; the office has two Office Assistants and coordinators, so the line should be staffed) or 4:00-5:30 PM CT as fallback. Ask for Bob Kaufman by name; if unavailable, ask for Tony Deutsch (Manager).</t>
        </is>
      </c>
      <c r="K10" s="8" t="inlineStr">
        <is>
          <t>Not found - site 'OFFICE HOURS' block lists Monday-Sunday with no times (unfilled Yext placeholder on every page); contact page says 'call or text us anytime'; GBP hours not retrieved</t>
        </is>
      </c>
      <c r="L10" s="8" t="inlineStr">
        <is>
          <t>Main line 612-722-0965 is a staffed office line (team page: 2 Office Assistants, 2 Pre-Production and 2 Production Coordinators, Accounting, HR; names not rendered in page text). Second decision-maker per BBB: Tony Deutsch, Manager. Site also lists a CEO and COO (unnamed in text) and a Sales Manager - the Sales Manager may try to take the call; ask specifically for 'Bob Kaufman, the owner' and reference BBB if asked how you got the name. Contact-form auto-reply is signed 'The Folks at Kaufman Roofing' - no named receptionist. No answering service or IVR evidence; record who answers on first dial.</t>
        </is>
      </c>
      <c r="M10" s="8" t="n">
        <v>56</v>
      </c>
      <c r="N10" s="8" t="inlineStr">
        <is>
          <t>Family-Legacy Pride Brand (secondary: Growth-Minded Operator); confidence medium</t>
        </is>
      </c>
      <c r="O10" s="8" t="inlineStr">
        <is>
          <t>Voice AI live demo line built from kaufmanroofing.com (answers overflow and after-hours calls, books the free estimate / hail inspection) + missed-call text-back. Secondary: free AI Search Visibility audit (site already has FAQ schema, so lead with the audit result, not a site rebuild). Do NOT pitch a website - Hibu is the incumbent.</t>
        </is>
      </c>
      <c r="P10" s="8" t="inlineStr">
        <is>
          <t>Hi Bob, this is Sam with Eat 4 Life Marketing - this is a cold call, so feel free to hang up on me. I was on kaufmanroofing.com: 96 years, thirteen straight Best of the Best wins, and estimators who are certified drone pilots. The one thing I couldn't find is who picks up when a homeowner with a leak calls after the office closes. We build a demo line trained on Kaufman's own site that answers those calls and books the free estimate - can I take 20 seconds to tell you how it works, and you tell me if it's worth a real look?</t>
        </is>
      </c>
      <c r="Q10" s="8" t="inlineStr">
        <is>
          <t>Legacy-protection plus overflow coverage, not 'AI'. Kaufman already pays Hibu, Podium and Synchrony to bring calls in; five estimators and the crews are out on roofs, and the site never says who answers after the office closes. Position the receptionist as trained on Kaufman's own 1930 story so callers still reach 'Kaufman', answering only what rings out or comes in after hours, booking the free estimate straight away, with a demo number he can call before paying anything. Go-live is one conditional call-forwarding rule. Secondary ask: the free audit of whether ChatGPT/Gemini name Kaufman when Twin Cities homeowners ask for a roofer.</t>
        </is>
      </c>
      <c r="R10" s="8" t="inlineStr">
        <is>
          <t>'We have office assistants and Podium - people can text us' / 'Hibu handles our marketing' / 'We've done fine since 1930.' Answer: nothing changes for the office or for Hibu - this only catches the calls that already ring out or land after hours, and it books them instead of leaving a voicemail; hear it on the demo line first, no commitment. Possible second gate: a CEO/COO layer exists on the team page, so Bob may defer to them.</t>
        </is>
      </c>
      <c r="S10" s="8" t="inlineStr">
        <is>
          <t>The 96-year / 'Best of the Best 13 Years Straight' combination (on homepage, undated) paired with a specific tech detail - five certified drone pilots on staff, including three of the five estimators (https://www.kaufmanroofing.com/the-kaufman-team, updated 2026-09-08). No dated win inside 90 days was found; blog post of 2026-10-13 is the freshest activity.</t>
        </is>
      </c>
      <c r="T10" s="8" t="inlineStr">
        <is>
          <t>Not found - no 24/7, emergency-line, answering-service or AI-receptionist statement anywhere on the site or in page source; hours block blank; the only promises are 'someone we will contact you shortly' (form auto-reply) and 'as soon as possible' (/what-to-expect)</t>
        </is>
      </c>
      <c r="U10" s="9" t="inlineStr"/>
      <c r="V10" s="10" t="inlineStr"/>
      <c r="W10" s="9" t="inlineStr"/>
      <c r="X10" s="10" t="inlineStr"/>
      <c r="Y10" s="9" t="inlineStr"/>
      <c r="Z10" s="10" t="inlineStr"/>
      <c r="AA10" s="11">
        <f>IF(A10="","",IF(OR(V10="Game Plan Call booked",V10="Do not call",V10="Not interested",V10="Email captured (GEO audit)",X10="Game Plan Call booked",X10="Do not call",X10="Not interested",X10="Email captured (GEO audit)",Y10&lt;&gt;""),"Done",IF(W10&lt;&gt;"",W10+3,IF(U10&lt;&gt;"",U10+2,"Call today"))))</f>
        <v/>
      </c>
      <c r="AB10" s="10" t="inlineStr"/>
      <c r="AC10" s="9" t="inlineStr"/>
      <c r="AD10" s="10" t="inlineStr"/>
      <c r="AE10" s="8" t="inlineStr">
        <is>
          <t>https://www.kaufmanroofing.com</t>
        </is>
      </c>
      <c r="AF10" s="8" t="inlineStr">
        <is>
          <t>Not found</t>
        </is>
      </c>
    </row>
    <row r="11" ht="110" customHeight="1">
      <c r="A11" s="8" t="inlineStr">
        <is>
          <t>20261013-10</t>
        </is>
      </c>
      <c r="B11" s="8" t="inlineStr">
        <is>
          <t>New Life Contracting, Inc.</t>
        </is>
      </c>
      <c r="C11" s="8" t="inlineStr">
        <is>
          <t>Steve Virkus</t>
        </is>
      </c>
      <c r="D11" s="8" t="inlineStr">
        <is>
          <t>President</t>
        </is>
      </c>
      <c r="E11" s="8" t="inlineStr">
        <is>
          <t>+1 651-661-1323</t>
        </is>
      </c>
      <c r="F11" s="8" t="inlineStr">
        <is>
          <t>+1 651-661-1323 (website primary, LocalBusiness JSON-LD, ThreeBestRated); second published line +1 651-224-3442 (site header, BBB, Checkbook). Both numbers identical across two page loads: no dynamic call-tracking swap.</t>
        </is>
      </c>
      <c r="G11" s="8" t="inlineStr">
        <is>
          <t>Saint Paul</t>
        </is>
      </c>
      <c r="H11" s="8" t="inlineStr">
        <is>
          <t>MN</t>
        </is>
      </c>
      <c r="I11" s="8" t="inlineStr">
        <is>
          <t>America/Chicago (Central Time)</t>
        </is>
      </c>
      <c r="J11" s="8" t="inlineStr">
        <is>
          <t>Tue–Thu 8:00–8:45 AM Central, right at opening before crews roll (office hours Mon–Fri 8–5, closed weekends per the site). Second window Tue–Thu 4:00–4:50 PM CT. BBB lists 2 employees, so the president is likely reachable on the office line; ask for Steve by name.</t>
        </is>
      </c>
      <c r="K11" s="8" t="inlineStr">
        <is>
          <t>Mon–Fri 8:00 am–5:00 pm; Sat–Sun Closed (newlifecontracting.com/contact and openingHoursSpecification in the site's LocalBusiness JSON-LD; ThreeBestRated shows the same)</t>
        </is>
      </c>
      <c r="L11" s="8" t="inlineStr">
        <is>
          <t>No office manager, dispatcher or CSR is named on any public page (site has no team page; BBB lists 2 employees and Steve Virkus, President, as the only named person; Facebook/Instagram login-walled; review replies not retrievable). Expect either Steve himself or voicemail. Two published lines: +1 651-661-1323 (website primary) and +1 651-224-3442 (BBB/Checkbook, likely the original office line); try the second if the first rings out. Ask for 'Steve' (BBB spelling), not 'Steven'. Do not reference the SOS renewal lapses or the BBB complaints.</t>
        </is>
      </c>
      <c r="M11" s="8" t="n">
        <v>56</v>
      </c>
      <c r="N11" s="8" t="inlineStr">
        <is>
          <t>Unclear</t>
        </is>
      </c>
      <c r="O11" s="8" t="inlineStr">
        <is>
          <t>Voice AI live demo line built from newlifecontracting.com, positioned as after-hours/weekend and on-the-roof overflow coverage for the emergency-tarping and storm calls, plus missed-call text-back. Free GEO audit as the second touch (run the spot-check first; none was possible this run).</t>
        </is>
      </c>
      <c r="P11" s="8" t="inlineStr">
        <is>
          <t>"Hi, this is Sam with Eat 4 Life Marketing — is this Steve? Steve, this is a cold call, so feel free to hang up, but give me twenty seconds. I was on newlifecontracting.com: you advertise emergency tarping and same-day service, but the office hours say Monday to Friday, eight to five, closed weekends. So when a St. Paul roof opens up on a Saturday night and the homeowner calls, who picks up — you, voicemail, or nobody? We build an AI receptionist trained on your own company that answers those calls, qualifies the caller and books the estimate, and we can build a demo line from your site you can call and hear before you pay a dollar. Worth twenty minutes to hear it?"</t>
        </is>
      </c>
      <c r="Q11" s="8" t="inlineStr">
        <is>
          <t>Missed-call / after-hours angle, not the AI angle. Lead with the emergency-tarping promise vs. 8-to-5 hours, ask who picks up after 5 and on weekends, then offer the demo line trained on their own site that they can call before paying anything. Mention that nothing changes on the Hibu site: go-live is one conditional call-forwarding rule for missed/busy calls, rollback is one dial code. GEO audit is the second ask (email for the free AI visibility check).</t>
        </is>
      </c>
      <c r="R11" s="8" t="inlineStr">
        <is>
          <t>"Hibu already does our marketing / website" -&gt; we don't touch the website; this only answers the calls the office already misses after 5 and on weekends, and books the estimate. Secondary: "We're a small shop, we answer our own phones" -&gt; agree, and ask what happens to the storm call at 9 pm Saturday; the demo covers only what currently goes to voicemail. Possible: "We're slow in winter" -&gt; winter is when ice-dam, condensation and leak calls come in off-hours (their own Sept 22 post is about condensation).</t>
        </is>
      </c>
      <c r="S11" s="8" t="inlineStr">
        <is>
          <t>The gap between what the site promises and when the office is open: 'Emergency Tarping Available' / 'same-day services' / FAQ 'How quickly can your team respond to urgent roofing issues or storm damage?' sit next to 'Mon - Fri 8:00 am - 5:00 pm, Sat - Sun Closed' (https://www.newlifecontracting.com/ and /contact). Safe compliment fallback: 27 years since 1998 and GAF Master Elite President's Club status.</t>
        </is>
      </c>
      <c r="T11" s="8" t="inlineStr">
        <is>
          <t>Gap. Site advertises 'Emergency Roof Repair', 'Emergency Tarping Available', 'same-day services' and a FAQ on responding to 'urgent roofing issues or storm damage', while posted hours are Mon–Fri 8:00 am–5:00 pm, Sat–Sun Closed (site + JSON-LD). No mention anywhere public of 24/7 answering, an answering service, or an AI receptionist; the estimate form only promises 'We will get back to you as soon as possible.' Who answers after 5 pm is unknown (not test-called).</t>
        </is>
      </c>
      <c r="U11" s="9" t="inlineStr"/>
      <c r="V11" s="10" t="inlineStr"/>
      <c r="W11" s="9" t="inlineStr"/>
      <c r="X11" s="10" t="inlineStr"/>
      <c r="Y11" s="9" t="inlineStr"/>
      <c r="Z11" s="10" t="inlineStr"/>
      <c r="AA11" s="11">
        <f>IF(A11="","",IF(OR(V11="Game Plan Call booked",V11="Do not call",V11="Not interested",V11="Email captured (GEO audit)",X11="Game Plan Call booked",X11="Do not call",X11="Not interested",X11="Email captured (GEO audit)",Y11&lt;&gt;""),"Done",IF(W11&lt;&gt;"",W11+3,IF(U11&lt;&gt;"",U11+2,"Call today"))))</f>
        <v/>
      </c>
      <c r="AB11" s="10" t="inlineStr"/>
      <c r="AC11" s="9" t="inlineStr"/>
      <c r="AD11" s="10" t="inlineStr"/>
      <c r="AE11" s="8" t="inlineStr">
        <is>
          <t>https://www.newlifecontracting.com</t>
        </is>
      </c>
      <c r="AF11" s="8" t="inlineStr">
        <is>
          <t>Not found (only the generic hello@newlifecontracting.com is published; no firstname@ address on any public page)</t>
        </is>
      </c>
    </row>
    <row r="12" ht="110" customHeight="1">
      <c r="A12" s="8" t="inlineStr">
        <is>
          <t>20261013-11</t>
        </is>
      </c>
      <c r="B12" s="8" t="inlineStr">
        <is>
          <t>Air-Pro Mechanical, LLC</t>
        </is>
      </c>
      <c r="C12" s="8" t="inlineStr">
        <is>
          <t>Walt Edelin</t>
        </is>
      </c>
      <c r="D12" s="8" t="inlineStr">
        <is>
          <t>Owner</t>
        </is>
      </c>
      <c r="E12" s="8" t="inlineStr">
        <is>
          <t>+1 804-355-7767</t>
        </is>
      </c>
      <c r="F12" s="8" t="inlineStr">
        <is>
          <t>+1 804-355-7767 (main; site header tel: link + BBB + GBP via directory). Fax +1 804-355-1007.</t>
        </is>
      </c>
      <c r="G12" s="8" t="inlineStr">
        <is>
          <t>Richmond</t>
        </is>
      </c>
      <c r="H12" s="8" t="inlineStr">
        <is>
          <t>VA</t>
        </is>
      </c>
      <c r="I12" s="8" t="inlineStr">
        <is>
          <t>America/New_York (Eastern)</t>
        </is>
      </c>
      <c r="J12" s="8" t="inlineStr">
        <is>
          <t>Tue–Thu 7:30–8:15 AM ET, right when the office opens and before trucks dispatch; a customer review on the company's site says "I dealt with the owner Walt Edelin" on a service job, so Walt is in the field later in the day. Fallback: 3:45–4:30 PM ET before the 4:30 close. Never after 4:30 PM ET (goes to the on-call line, not the office).</t>
        </is>
      </c>
      <c r="K12" s="8" t="inlineStr">
        <is>
          <t>Office: "Monday through Friday: 7:30 am to 4:30 pm" + "On-Call around the clock, 7 days per week" (https://airprova.com/contact-us/). GBP (via serviceagent.ai directory): "Open 24 hours" every day. Site: "True 24/7 Emergency Service. You can call us any time, night or day, Sundays and holidays."</t>
        </is>
      </c>
      <c r="L12" s="8" t="inlineStr">
        <is>
          <t>Main line +1 804-355-7767 is a CallRail-swapped number landing at the office, staffed Mon–Fri 7:30–4:30 ET. The site's FAQ says calls go to "skilled customer support technicians," and a customer review names "Walt, Lisa, Brian" as the team — Lisa's role is not published, so do not call her the office manager; ask "is Walt in, or is this Lisa?" to sound familiar without guessing. Owner Walt Edelin is personally on service calls (review on airprova.com), so morning before dispatch is the window. No owner cell or direct line published. After 4:30 PM the line goes to an unpublished on-call arrangement — do not test-call after hours without Chosen's authorization. Email fallback: info@airprova.com with "Attn: Walt Edelin" in the subject.</t>
        </is>
      </c>
      <c r="M12" s="8" t="n">
        <v>56</v>
      </c>
      <c r="N12" s="8" t="inlineStr">
        <is>
          <t>Family-Legacy Pride Brand (primary; medium confidence) with Growth-Minded Operator secondary</t>
        </is>
      </c>
      <c r="O12" s="8" t="inlineStr">
        <is>
          <t>Voice AI live demo line built from airprova.com (after-hours/overflow receptionist that answers the "night or day" promise and books the service call), paired with missed-call text-back; GEO audit only after the spot-check is actually run.</t>
        </is>
      </c>
      <c r="P12" s="8" t="inlineStr">
        <is>
          <t>"Hi, is this Walt? Walt, it's Sam with Eat 4 Life Marketing — this is a cold call, so feel free to hang up on me. I was on the AirPro site: it says 'call us any time, night or day,' and I saw you're hiring five techs. Quick one — when the office closes at 4:30 and the crew's on jobs, who's picking up: you, voicemail, or an on-call line? We build a receptionist trained on your own website that answers every one of those calls and books the service visit, and you can dial the demo before you pay a dollar. Can I take 20 seconds to tell you how it works, or is this a bad time?"</t>
        </is>
      </c>
      <c r="Q12" s="8" t="inlineStr">
        <is>
          <t>Missed-call / after-hours coverage, not "AI": a 40-plus-year Carrier dealer that already pays CallRail to measure calls, promises true 24/7, runs a 7:30–4:30 office, and has the owner on service jobs. Offer the demo line trained on their own site so Walt can hear his own business answered before paying anything; position it as overflow and after-hours only, never as replacing Lisa or the office. Secondary: Service Agreement renewals and tune-up reminders as recurring revenue the system can protect.</t>
        </is>
      </c>
      <c r="R12" s="8" t="inlineStr">
        <is>
          <t>"We're on-call around the clock already — the techs/answering line handle nights." Response: ask what happens to the second and third call during a no-heat week and to the office line between 4:30 and 7:30; the demo doesn't touch their on-call rotation, it only catches what rings out. Also expect "we don't price over the phone" — the agent qualifies and books, it never quotes.</t>
        </is>
      </c>
      <c r="S12" s="8" t="inlineStr">
        <is>
          <t>Neutral phone-process observation (no dated win found in 90 days): the site promises "True 24/7 — call us any time, night or day, Sundays and holidays" while the office is 7:30–4:30 and the owner is personally on service calls; plus five open technician roles on a "growing family business" careers page. URL: https://airprova.com/ and https://airprova.com/about-airpro-mechanical/airpro-mechanical-employment/</t>
        </is>
      </c>
      <c r="T12" s="8" t="inlineStr">
        <is>
          <t>Site claims "True 24/7 ... call us any time, night or day" and "On-Call around the clock, 7 days per week" against office hours Mon–Fri 7:30–4:30. Who answers after 4:30 is not published: no answering-service, call-center, or AI-receptionist vendor appears in page source or on any page. GBP (via directory) lists Open 24 hours. Claim vs. staffed coverage = the demo question.</t>
        </is>
      </c>
      <c r="U12" s="9" t="inlineStr"/>
      <c r="V12" s="10" t="inlineStr"/>
      <c r="W12" s="9" t="inlineStr"/>
      <c r="X12" s="10" t="inlineStr"/>
      <c r="Y12" s="9" t="inlineStr"/>
      <c r="Z12" s="10" t="inlineStr"/>
      <c r="AA12" s="11">
        <f>IF(A12="","",IF(OR(V12="Game Plan Call booked",V12="Do not call",V12="Not interested",V12="Email captured (GEO audit)",X12="Game Plan Call booked",X12="Do not call",X12="Not interested",X12="Email captured (GEO audit)",Y12&lt;&gt;""),"Done",IF(W12&lt;&gt;"",W12+3,IF(U12&lt;&gt;"",U12+2,"Call today"))))</f>
        <v/>
      </c>
      <c r="AB12" s="10" t="inlineStr"/>
      <c r="AC12" s="9" t="inlineStr"/>
      <c r="AD12" s="10" t="inlineStr"/>
      <c r="AE12" s="8" t="inlineStr">
        <is>
          <t>https://airprova.com</t>
        </is>
      </c>
      <c r="AF12" s="8" t="inlineStr">
        <is>
          <t>Not found</t>
        </is>
      </c>
    </row>
    <row r="13" ht="110" customHeight="1">
      <c r="A13" s="8" t="inlineStr">
        <is>
          <t>20261013-12</t>
        </is>
      </c>
      <c r="B13" s="8" t="inlineStr">
        <is>
          <t>Affordable Professional Plumbing, LLC</t>
        </is>
      </c>
      <c r="C13" s="8" t="inlineStr">
        <is>
          <t>John Pardo</t>
        </is>
      </c>
      <c r="D13" s="8" t="inlineStr">
        <is>
          <t>Owner</t>
        </is>
      </c>
      <c r="E13" s="8" t="inlineStr">
        <is>
          <t>+1 614-802-9000</t>
        </is>
      </c>
      <c r="F13" s="8" t="inlineStr">
        <is>
          <t>+1 614-802-9000</t>
        </is>
      </c>
      <c r="G13" s="8" t="inlineStr">
        <is>
          <t>Hilliard</t>
        </is>
      </c>
      <c r="H13" s="8" t="inlineStr">
        <is>
          <t>OH</t>
        </is>
      </c>
      <c r="I13" s="8" t="inlineStr">
        <is>
          <t>America/New_York (Eastern)</t>
        </is>
      </c>
      <c r="J13" s="8" t="inlineStr">
        <is>
          <t>Tue-Thu 7:45-8:30 AM ET (right at the 8:00 open, before the first job; per playbook trades window) or 4:00-5:00 PM ET (wrapping up, still inside the published Mon-Fri 8-5 hours). Reason: no office staff is named anywhere; neighbors list "John (614) 802-9000" and say he answers calls personally, so mid-day he is likely under a sink and will let it ring. Stay inside Mon-Fri published hours even though he reportedly picks up on Sundays.</t>
        </is>
      </c>
      <c r="K13" s="8" t="inlineStr">
        <is>
          <t>Mon-Fri 8:00 am - 5:00 pm; Saturday Closed; Sunday Closed (site contact page; Nextdoor page lists the same hours). Note: homepage &lt;title&gt; says "24/7 Local Plumbing Services" and the replacements page header says "24/7 Service".</t>
        </is>
      </c>
      <c r="L13" s="8" t="inlineStr">
        <is>
          <t>No gatekeeper found. No office manager, dispatcher, CSR or front-desk name appears on the site, BBB ("Customer Contacts" not shown), Nextdoor or testimonials; no answering service or IVR detected. Expect John Pardo himself on (614) 802-9000 (Nextdoor: "John (614) 802-9000", "answering calls even on Sundays"), or a family co-owner (father/brother per neighbor and testimonial quotes; name Not found), or voicemail when on a job. If voicemail: leave first name, "cold call about who answers your line when you're on a job," and a callback number; do not leave the demo number on voicemail. Ask for John by first name; customers write "John" and one writes "Jon."</t>
        </is>
      </c>
      <c r="M13" s="8" t="n">
        <v>56</v>
      </c>
      <c r="N13" s="8" t="inlineStr">
        <is>
          <t>Family-Legacy Pride Brand (primary, medium confidence); secondary: Overwhelmed Owner-Operator (phone-dependent single operator, but no reachability complaints found)</t>
        </is>
      </c>
      <c r="O13" s="8" t="inlineStr">
        <is>
          <t>Voice AI live demo built from affordableprofessionalplumbing.com, emergency/after-hours angle (the weekend and on-the-job calls), paired with missed-call text-back. Go-live framed as one conditional call-forwarding rule on (614) 802-9000 for missed/busy calls only - John keeps answering everything he can. Fallback if budget is the objection: à la carte solo voice agent (no price in copy). Run the free GEO audit as the second ask (D4 not yet checked; no LocalBusiness/FAQ schema on site).</t>
        </is>
      </c>
      <c r="P13" s="8" t="inlineStr">
        <is>
          <t>"Hi John, this is Sam with Eat 4 Life Marketing - full disclosure, this is a cold call, so feel free to hang up on me, but can I take twenty seconds? I was on your website: the page title says 24/7 plumbing, the contact page says closed Saturday and Sunday, and your Nextdoor neighbors say the reason you have five hundred five-star reviews is that you pick up the phone yourself, even on Sundays. We build a receptionist trained on your own site that only takes the calls that already ring out - when you're under a sink or off the clock - books the estimate, and texts back every missed call in under a minute. You can call a demo line and hear it answer as Affordable Professional Plumbing before you ever pay a dollar. Can I get twenty more seconds to tell you how it works, or is there a better time today?"</t>
        </is>
      </c>
      <c r="Q13" s="8" t="inlineStr">
        <is>
          <t>Emergency/after-hours voice demo. The site's own title promises "24/7 Local Plumbing Services" and the replacements page says "24/7 Service", but the contact page is Mon-Fri 8-5, closed Sat-Sun, and every public source says John himself is the phone. The pitch is relief, not replacement: an AI receptionist trained on his site that only takes the calls that already ring out - when he's under a sink, on another call, or off the clock - qualifies the caller (name, number, job, urgency), books the estimate, and texts back every missed call in under a minute. Proof lever: he can dial the demo line and hear his own business answered before paying anything. Second ask: free AI-visibility audit (site has no LocalBusiness/FAQ schema). Do not lead with "AI"; lead with the 2 a.m. burst pipe and the Google Ads clicks he is already paying for.</t>
        </is>
      </c>
      <c r="R13" s="8" t="inlineStr">
        <is>
          <t>"I answer my own phone - I don't miss calls." (Nextdoor literally praises him for "answering calls even on Sundays".) Response: agree - that's why the reviews are what they are; this only catches the calls that hit voicemail while he's on a job or on the other line, and nothing changes for callers he already picks up; the demo line lets him hear exactly what a caller would get. Secondary objection: "we're a small family shop, we don't need more work / can't justify the spend" - pivot to the calls he's already paying Google Ads for landing in voicemail, and to the Revenue Leak Scorecard; pricing stays on the Game Plan Call.</t>
        </is>
      </c>
      <c r="S13" s="8" t="inlineStr">
        <is>
          <t>Nextdoor "Neighborhood Favorite" for the fifth straight year (2021-2025) plus BBB Accreditation on 2025-11-24, paired with the neutral observation that the site says 24/7 while the contact page says closed Sat-Sun and neighbors say John himself is the one answering. Source: https://nextdoor.com/pages/affordable-professional-plumbing-hilliard-oh/ and https://www.bbb.org/us/oh/hilliard/profile/plumber/affordable-professional-plumbing-llc-0302-70130771</t>
        </is>
      </c>
      <c r="T13" s="8" t="inlineStr">
        <is>
          <t>Not stated anywhere. Hours published as Mon-Fri 8-5, closed Sat/Sun (site contact page + Nextdoor). No answering-service, call-center, IVR or AI-receptionist script or mention in page source, BBB, or Nextdoor. Site simultaneously advertises "24/7 Local Plumbing Services" (homepage title/meta) and "24/7 Service" / "emergency service" (replacements page). Nextdoor page summary says John is "answering calls even on Sundays" - i.e. after-hours coverage is the owner personally, when he can.</t>
        </is>
      </c>
      <c r="U13" s="9" t="inlineStr"/>
      <c r="V13" s="10" t="inlineStr"/>
      <c r="W13" s="9" t="inlineStr"/>
      <c r="X13" s="10" t="inlineStr"/>
      <c r="Y13" s="9" t="inlineStr"/>
      <c r="Z13" s="10" t="inlineStr"/>
      <c r="AA13" s="11">
        <f>IF(A13="","",IF(OR(V13="Game Plan Call booked",V13="Do not call",V13="Not interested",V13="Email captured (GEO audit)",X13="Game Plan Call booked",X13="Do not call",X13="Not interested",X13="Email captured (GEO audit)",Y13&lt;&gt;""),"Done",IF(W13&lt;&gt;"",W13+3,IF(U13&lt;&gt;"",U13+2,"Call today"))))</f>
        <v/>
      </c>
      <c r="AB13" s="10" t="inlineStr"/>
      <c r="AC13" s="9" t="inlineStr"/>
      <c r="AD13" s="10" t="inlineStr"/>
      <c r="AE13" s="8" t="inlineStr">
        <is>
          <t>https://www.affordableprofessionalplumbing.com/</t>
        </is>
      </c>
      <c r="AF13" s="8" t="inlineStr">
        <is>
          <t>Not found (no owner-named address published anywhere; business inbox is affordableplumber72@gmail.com, which in a 2-4 person "father son shop" is very likely read by John himself, but that is an inference, not a sourced fact)</t>
        </is>
      </c>
    </row>
    <row r="14" ht="110" customHeight="1">
      <c r="A14" s="8" t="inlineStr">
        <is>
          <t>20261013-13</t>
        </is>
      </c>
      <c r="B14" s="8" t="inlineStr">
        <is>
          <t>Phase NW LLC (Phase NW Electricians)</t>
        </is>
      </c>
      <c r="C14" s="8" t="inlineStr">
        <is>
          <t>Eugene Brown</t>
        </is>
      </c>
      <c r="D14" s="8" t="inlineStr">
        <is>
          <t>Owner / Master Electrician</t>
        </is>
      </c>
      <c r="E14" s="8" t="inlineStr">
        <is>
          <t>+1 206-487-7278</t>
        </is>
      </c>
      <c r="F14" s="8" t="inlineStr">
        <is>
          <t>+1 206-487-7278 (main line: site header tel: link, BBB, ProvenExpert). Second business line +1 253-893-9060 listed on Nextdoor page (not tied to the owner). The (833) 833-7427 number the scout saw on BBB was NOT present on BBB when fetched 2026-10-14.</t>
        </is>
      </c>
      <c r="G14" s="8" t="inlineStr">
        <is>
          <t>Kent</t>
        </is>
      </c>
      <c r="H14" s="8" t="inlineStr">
        <is>
          <t>WA</t>
        </is>
      </c>
      <c r="I14" s="8" t="inlineStr">
        <is>
          <t>America/Los_Angeles (Pacific Time)</t>
        </is>
      </c>
      <c r="J14" s="8" t="inlineStr">
        <is>
          <t>Tue-Thu 7:15-8:00 AM PT (Nextdoor hours open 7 AM, site schema 8 AM; owner works jobs himself per site testimonial 'The owner personally came out and completed the job', so catch him before dispatch). Backup Tue-Thu 4:00-4:45 PM PT. Weekday-hours-only line; nothing after 5 PM PT.</t>
        </is>
      </c>
      <c r="K14" s="8" t="inlineStr">
        <is>
          <t>Site JSON-LD openingHours: 'Mo,Tu,We,Th,Fr 08:00-16:00'. Nextdoor business page: Monday-Friday 7:00 AM-5:00 PM, closed Saturday and Sunday. ProvenExpert: 'Appointments by request only'. No hours shown on the site's Contact page or BBB. Google Business Profile hours string could not be fetched directly this session (CONFLICT 8-4 vs 7-5: both are weekday-only, no evening/weekend coverage either way).</t>
        </is>
      </c>
      <c r="L14" s="8" t="inlineStr">
        <is>
          <t>No office manager, dispatcher or receptionist is named anywhere (site, BBB, LinkedIn, Nextdoor); BBB lists 3 employees and every named person is a field electrician (Gene, Kade, Kyle, Trae). Expect Gene himself or a tech to answer the (206) 487-7278 line - one site testimonial says 'the supervisor promptly called to reschedule', so a second person does handle scheduling calls. ProvenExpert says 'Appointments by request only', so daytime calls may roll to voicemail while they are on jobs; if voicemail, leave the 20-second version and try the 7:15 AM window next day. Ask for 'Gene' (not Eugene). A second published business number, +1 253-893-9060 (Nextdoor), is a fallback line, not a confirmed cell - manual dial only.</t>
        </is>
      </c>
      <c r="M14" s="8" t="n">
        <v>56</v>
      </c>
      <c r="N14" s="8" t="inlineStr">
        <is>
          <t>Tech-Forward Early Adopter (secondary: Growth-Minded Operator); confidence medium</t>
        </is>
      </c>
      <c r="O14" s="8" t="inlineStr">
        <is>
          <t>Voice AI live demo built from phasenw.com (answers evenings/weekends, triages sparking/burning-smell as urgent, books EV-charger/panel/generator estimates into Housecall Pro) + missed-call text-back on the (206) line</t>
        </is>
      </c>
      <c r="P14" s="8" t="inlineStr">
        <is>
          <t>Hi, is this Gene? Gene, Sam with Eat 4 Life Marketing - this is a cold call, so you can hang up on me, but give me twenty seconds. I was on phasenw.com this morning: 120 five-star reviews and a Nextdoor Fave two years running, but the hours say Monday to Friday, eight to four. So when a Bellevue homeowner wants a panel upgrade or an EV charger at six o'clock or on a Saturday, who picks up - you, voicemail, or nobody? We build a receptionist trained on your own site that answers those calls and books them straight into your Housecall Pro, and we'd build a demo line for Phase NW you can call and try to break before you pay a dollar. Can I take twenty seconds to explain how it works, or is there a better time to catch you?</t>
        </is>
      </c>
      <c r="Q14" s="8" t="inlineStr">
        <is>
          <t>Missed-call / after-hours coverage for high-ticket work, framed for a tech-forward owner-operator: you already book through Housecall Pro and ask for reviews with pulsem, so the only hole is the phone when you are on a ladder or it is Saturday. We build a receptionist trained on your own site that answers those calls, qualifies them (name, address, job, is anything sparking or smelling hot), and books straight into Housecall Pro; go-live is one conditional call-forwarding rule on the (206) line and rollback is one dial code. Proof lever: the demo number exists before any money changes hands - call it and try to break it. Do not pitch booking (they have it) or reviews (they have it).</t>
        </is>
      </c>
      <c r="R14" s="8" t="inlineStr">
        <is>
          <t>'It's just me and two guys - I answer my own phone' / 'Housecall Pro already handles my scheduling' / 'I don't want a robot talking to my customers.' Response: it only catches the calls that already hit voicemail (evenings, weekends, mid-job); it books into the Housecall Pro you already run; a human still gets every call you can take; hear it first on the demo line, nothing to sign before that. Price sensitivity is likely for a 3-person shop - keep setup effort at zero and talk about one recovered panel job, not plans.</t>
        </is>
      </c>
      <c r="S14" s="8" t="inlineStr">
        <is>
          <t>Nextdoor 'Neighborhood Fave' 2025 - second win after 2022 - for a three-person shop, paired with 120 five-star Google reviews (https://nextdoor.com/pages/phase-nw-llc/). Safe, specific, positive, and it is on a page Gene manages himself.</t>
        </is>
      </c>
      <c r="T14" s="8" t="inlineStr">
        <is>
          <t>No after-hours coverage found. Hours are weekday-only (site schema Mon-Fri 8-4; Nextdoor Mon-Fri 7-5, closed Sat/Sun); ProvenExpert 'Appointments by request only'. No mention of 24/7, emergency line, answering service or AI receptionist anywhere on the site, in page source (checked smith.ai, goodcall, dialzara, rosie, slang, avoca, voctiv - none), BBB, Nextdoor or ProvenExpert. Header CTA is 'Call Us (206) 487-7278' - phone-first.</t>
        </is>
      </c>
      <c r="U14" s="9" t="inlineStr"/>
      <c r="V14" s="10" t="inlineStr"/>
      <c r="W14" s="9" t="inlineStr"/>
      <c r="X14" s="10" t="inlineStr"/>
      <c r="Y14" s="9" t="inlineStr"/>
      <c r="Z14" s="10" t="inlineStr"/>
      <c r="AA14" s="11">
        <f>IF(A14="","",IF(OR(V14="Game Plan Call booked",V14="Do not call",V14="Not interested",V14="Email captured (GEO audit)",X14="Game Plan Call booked",X14="Do not call",X14="Not interested",X14="Email captured (GEO audit)",Y14&lt;&gt;""),"Done",IF(W14&lt;&gt;"",W14+3,IF(U14&lt;&gt;"",U14+2,"Call today"))))</f>
        <v/>
      </c>
      <c r="AB14" s="10" t="inlineStr"/>
      <c r="AC14" s="9" t="inlineStr"/>
      <c r="AD14" s="10" t="inlineStr"/>
      <c r="AE14" s="8" t="inlineStr">
        <is>
          <t>https://www.phasenw.com</t>
        </is>
      </c>
      <c r="AF14" s="8" t="inlineStr">
        <is>
          <t>sales@phasenw.com</t>
        </is>
      </c>
    </row>
    <row r="15" ht="110" customHeight="1">
      <c r="A15" s="8" t="inlineStr">
        <is>
          <t>20261013-14</t>
        </is>
      </c>
      <c r="B15" s="8" t="inlineStr">
        <is>
          <t>Bastin Roofing</t>
        </is>
      </c>
      <c r="C15" s="8" t="inlineStr">
        <is>
          <t>Kirk Bastin</t>
        </is>
      </c>
      <c r="D15" s="8" t="inlineStr">
        <is>
          <t>Chairman &amp; Founder</t>
        </is>
      </c>
      <c r="E15" s="8" t="inlineStr">
        <is>
          <t>+1 636-556-4721</t>
        </is>
      </c>
      <c r="F15" s="8" t="inlineStr">
        <is>
          <t>+1 636-556-4721 (site header 'Call or Text', tel: link x10, JSON-LD, BBB; fax +1 636-379-0017 per BBB)</t>
        </is>
      </c>
      <c r="G15" s="8" t="inlineStr">
        <is>
          <t>O'Fallon</t>
        </is>
      </c>
      <c r="H15" s="8" t="inlineStr">
        <is>
          <t>MO</t>
        </is>
      </c>
      <c r="I15" s="8" t="inlineStr">
        <is>
          <t>America/Chicago (Central Time)</t>
        </is>
      </c>
      <c r="J15" s="8" t="inlineStr">
        <is>
          <t>Tue-Thu 7:00-7:45 AM CT, right at opening before crews dispatch (trades window; site opens 7 AM and the owner-operator is most likely at the shop then); fallback Tue-Thu 4:00-5:30 PM CT. Avoid Saturday (half day) and never after 8 PM CT.</t>
        </is>
      </c>
      <c r="K15" s="8" t="inlineStr">
        <is>
          <t>Mon-Fri 7:00 AM-9:00 PM; Sat 7:00 AM-12:00 PM; Sun Closed (site contact page + JSON-LD; GBP hours not verified this session). '24-hour emergency service... outside the hours above.'</t>
        </is>
      </c>
      <c r="L15" s="8" t="inlineStr">
        <is>
          <t>Not found who answers the main line. Site form has a 'Request A Call Back From Sales (During Business Hours)' option, implying a sales desk returns inquiries; no office manager, dispatcher or CSR named on the site, BBB ('Customer Contacts' not listed) or elsewhere reachable this session. No answering service or AI vendor in page source. Ask for Kirk by name ('is Kirk around this morning?'); if a sales rep answers, ask who handles the phones after hours and when Kirk is in the shop. Number is advertised 'Call or Text' - treat as possibly a cell: manual human dial only, no SMS or automated calls.</t>
        </is>
      </c>
      <c r="M15" s="8" t="n">
        <v>56</v>
      </c>
      <c r="N15" s="8" t="inlineStr">
        <is>
          <t>Family-Legacy Pride Brand (medium confidence; secondary: Tech-Forward Early Adopter)</t>
        </is>
      </c>
      <c r="O15" s="8" t="inlineStr">
        <is>
          <t>Voice AI live demo line built from bastinroofing.com (after-hours/overflow emergency intake that books the free inspection) + missed-call text-back. Verify first whether their GHL build already runs missed-call text-back; if yes, position the voice agent as the missing after-hours layer booking into their existing GHL calendar.</t>
        </is>
      </c>
      <c r="P15" s="8" t="inlineStr">
        <is>
          <t>"Hi, is this Kirk? Kirk, it's Sam with Eat 4 Life Marketing - full disclosure, this is a cold call, so feel free to hang up on me. I was on bastinroofing.com and it says a storm-opened roof shouldn't wait until Monday, but your form only offers a call back from sales during business hours. So when the phone rings Saturday night after hail, who's picking up - you, voicemail, or nobody? We build a demo line trained on your own site that answers those calls, qualifies the homeowner and books the free inspection, and you can call it before you ever pay a dollar. Can I take 20 seconds to tell you how it works, and you tell me if it's worth a longer look?"</t>
        </is>
      </c>
      <c r="Q15" s="8" t="inlineStr">
        <is>
          <t>Missed-call / after-hours emergency coverage. Thirty years and a veteran-owned name are the reputation; the gap is who picks up when hail hits St. Charles County at 10 PM Saturday. Offer the demo line trained on his own site: it answers, qualifies (address, leak vs. storm damage, insurance claim), and books the free inspection, then texts back every missed call. Go-live is one conditional call-forwarding rule on missed/busy calls. Do not pitch chat, schema or a new website - he already has a GHL site with FAQ schema.</t>
        </is>
      </c>
      <c r="R15" s="8" t="inlineStr">
        <is>
          <t>"I already have a marketing company / that GoHighLevel thing handles my leads" and "customers want to talk to a real person." Answer: we only take the calls that already go unanswered after hours or while the crew is on a roof, we plug into the GHL he already has, and he can call the demo number himself before paying anything.</t>
        </is>
      </c>
      <c r="S15" s="8" t="inlineStr">
        <is>
          <t>The site's own promise vs. its own form: homepage says 'When a storm opens up your roof, we don't make you wait until Monday' and contact page says 'Emergency service is available around the clock', while the contact form's only callback option is 'Request A Call Back From Sales (During Business Hours)' and hours show Sat 7-12 / Sun Closed. Sources: https://bastinroofing.com and https://www.bastinroofing.com/contact-us</t>
        </is>
      </c>
      <c r="T15" s="8" t="inlineStr">
        <is>
          <t>claims_24_7 vs hours_only gap. Site: 'Emergency service is available around the clock' and '24-hour emergency service is available for extreme weather events, outside the hours above.' Posted hours: Mon-Fri 7:00 AM-9:00 PM, Sat 7:00 AM-12:00 PM, Sun Closed. Contact form callback option: 'Request A Call Back From Sales (During Business Hours)'. No statement of who answers after hours; no answering-service, call-center or AI-receptionist vendor in page source.</t>
        </is>
      </c>
      <c r="U15" s="9" t="inlineStr"/>
      <c r="V15" s="10" t="inlineStr"/>
      <c r="W15" s="9" t="inlineStr"/>
      <c r="X15" s="10" t="inlineStr"/>
      <c r="Y15" s="9" t="inlineStr"/>
      <c r="Z15" s="10" t="inlineStr"/>
      <c r="AA15" s="11">
        <f>IF(A15="","",IF(OR(V15="Game Plan Call booked",V15="Do not call",V15="Not interested",V15="Email captured (GEO audit)",X15="Game Plan Call booked",X15="Do not call",X15="Not interested",X15="Email captured (GEO audit)",Y15&lt;&gt;""),"Done",IF(W15&lt;&gt;"",W15+3,IF(U15&lt;&gt;"",U15+2,"Call today"))))</f>
        <v/>
      </c>
      <c r="AB15" s="10" t="inlineStr"/>
      <c r="AC15" s="9" t="inlineStr"/>
      <c r="AD15" s="10" t="inlineStr"/>
      <c r="AE15" s="8" t="inlineStr">
        <is>
          <t>https://bastinroofing.com</t>
        </is>
      </c>
      <c r="AF15" s="8" t="inlineStr">
        <is>
          <t>Not found (no owner-personal address on any public page; only the generic bastinroofing@gmail.com business mailbox)</t>
        </is>
      </c>
    </row>
    <row r="16" ht="110" customHeight="1">
      <c r="A16" s="8" t="inlineStr">
        <is>
          <t>20261013-15</t>
        </is>
      </c>
      <c r="B16" s="8" t="inlineStr">
        <is>
          <t>Griffith Heating and Cooling, Inc.</t>
        </is>
      </c>
      <c r="C16" s="8" t="inlineStr">
        <is>
          <t>Kevin Griffith</t>
        </is>
      </c>
      <c r="D16" s="8" t="inlineStr">
        <is>
          <t>President</t>
        </is>
      </c>
      <c r="E16" s="8" t="inlineStr">
        <is>
          <t>+1 804-744-0850</t>
        </is>
      </c>
      <c r="F16" s="8" t="inlineStr">
        <is>
          <t>+1 804-744-0850 (main line, site header/footer + BBB; fax +1 804-744-0851 per BBB)</t>
        </is>
      </c>
      <c r="G16" s="8" t="inlineStr">
        <is>
          <t>Midlothian</t>
        </is>
      </c>
      <c r="H16" s="8" t="inlineStr">
        <is>
          <t>VA</t>
        </is>
      </c>
      <c r="I16" s="8" t="inlineStr">
        <is>
          <t>America/New_York (Eastern)</t>
        </is>
      </c>
      <c r="J16" s="8" t="inlineStr">
        <is>
          <t>Tue-Thu 7:30-8:15 AM ET, right when the office opens and before techs dispatch (site says the office opens 7:30; the Contact page lists Kevin on the main line, so the first calls of the day are the best shot at catching him before the GM/dispatch rhythm starts). Second window: Tue-Thu 3:45-4:30 PM ET, before the Contact page's 4:30 close. Avoid Mondays (post-weekend on-call backlog) and the first cold snap week when no-heat calls spike.</t>
        </is>
      </c>
      <c r="K16" s="8" t="inlineStr">
        <is>
          <t>Conflicting across sources (flag for Sam): Homepage: 'open five days a week from 7:30am to 5pm with a same day service guarantee, complimented by a 24 hour emergency service'. Contact page: 'Mon - Fri 7:30 am - 4:30 pm / Sat - Sun Open 24 Hours' + '24 Hour On-Call Service'. Directory (Google mirror): Mon-Fri 7:30 AM-5:00 PM, Saturday Closed, Sunday Closed. Office line is reliably staffed Mon-Fri 7:30 AM-4:30 PM.</t>
        </is>
      </c>
      <c r="L16" s="8" t="inlineStr">
        <is>
          <t>Main line (804) 744-0850 is most likely answered by Amanda Madures, Office Manager (Contact page: 'AMANDA MADURES - OFFICE MANAGER Contact Amanda at (804) 744-0850'). Ask for Kevin by name ('is Kevin Griffith in this morning?'). If Kevin is out, Jamie Madures, General Manager, is the published second decision-maker with a direct extension: '(804) 744-0850 Ext. 108' — a GM-forwardable demo is a fine fallback. Other published staff: Jacob Newton, Sales Manager; Blake Piland, Install Manager; Angela Griffith, Human Resources, Ext. 102; Bobby Quinn, Comfort Consultant (FAQ page). No answering service named; after-hours the FAQ says a tech is 'on-call' — Sam should not test-dial after hours unless Chosen authorizes the probe. No 'no solicitation' notice found on the site.</t>
        </is>
      </c>
      <c r="M16" s="8" t="n">
        <v>55</v>
      </c>
      <c r="N16" s="8" t="inlineStr">
        <is>
          <t>Growth-Minded Operator (medium confidence); secondary: Family-Legacy Pride Brand</t>
        </is>
      </c>
      <c r="O16" s="8" t="inlineStr">
        <is>
          <t>Voice AI live demo built from griffithhvac.com (after-hours / overflow layer that answers the first ring, qualifies no-heat vs. routine, pages the on-call tech only for true emergencies, books everything else for 7:30 AM); pair with missed-call text-back. Seasonal urgency angle (heating season). GEO audit as the second touch once the spot-check is run.</t>
        </is>
      </c>
      <c r="P16" s="8" t="inlineStr">
        <is>
          <t>Hi Kevin, this is Sam with Eat 4 Life Marketing — full disclosure, this is a cold call, so you're welcome to hang up on me. I was on griffithhvac.com this morning: your header says 24-hour emergency service, and your homepage says the office runs 7:30 to 5, five days a week. So who actually picks up when a furnace dies in Chesterfield at 9 on a Saturday night — the on-call tech's cell, or voicemail? Reason I'm asking: we build a receptionist trained on your own website that answers that first ring, figures out if it's a real emergency, pages your on-call guy only when it is, and books the rest for 7:30. You can call the demo line before you ever pay a dollar. Can I take 20 seconds to tell you how it works?</t>
        </is>
      </c>
      <c r="Q16" s="8" t="inlineStr">
        <is>
          <t>Missed-call / after-hours coverage, in their own words. Griffith is phone-first (every CTA is the main line, no scheduler), sells '24/7 EMERGENCY SERVICE' and a '$21 a Month' maintenance plan, and is hiring. The on-call tech is the pitch, not the enemy: 'when the on-call guy is under a house or asleep, the first ring still gets answered, the caller gets qualified, true emergencies get paged to him, and the rest are booked for 7:30.' Proof lever: a demo line trained on griffithhvac.com they can call before paying. Do not lead with 'AI'; lead with the Saturday-night furnace call and the maintenance-plan renewals that currently depend on a phone call.</t>
        </is>
      </c>
      <c r="R16" s="8" t="inlineStr">
        <is>
          <t>'We already have someone on-call 24/7' (their FAQ says so) and 'we have Podium for texts.' Answer: the on-call tech cannot answer while on a job or at 2 AM, and Podium catches texts and web chat, not the voice call a homeowner with no heat actually makes; the AI sits in front of the on-call line, pages him only for real emergencies, and books the rest. Secondary: 'our office manager handles the phones' — position as after-hours and overflow only, never replacing Amanda.</t>
        </is>
      </c>
      <c r="S16" s="8" t="inlineStr">
        <is>
          <t>The hours contradiction on their own site: header '24/7 EMERGENCY SERVICE' + Contact page 'Sat - Sun Open 24 Hours' vs. homepage 'open five days a week from 7:30am to 5pm' (https://www.griffithhvac.com/ and /contact). It is specific, public, current, neutral and takes Rozel 30 seconds to verify. Runner-up: 'Griffith Gives Back' (free installed heat pump for a nominated first responder/teacher/veteran, since 2021) as a warm, non-salesy compliment in the second line.</t>
        </is>
      </c>
      <c r="T16" s="8" t="inlineStr">
        <is>
          <t>claims_24_7 via on-call tech, mechanism unconfirmed. Header: '24/7 EMERGENCY SERVICE' / '24 Hour Emergency Service'; FAQ: 'Griffith Heating &amp; Cooling, Inc offers 24 hours a day, 365 days a year service. Call us at (804) 744-0850 as we always have someone standing "on-call" for our customers.'; Contact page: '24 Hour On-Call Service', 'Sat - Sun Open 24 Hours'. Versus homepage 'open five days a week from 7:30am to 5pm' and directory 'Saturday Closed, Sunday Closed'. No answering service, call center or AI receptionist named anywhere in site copy or page source. Who physically answers at 9 PM Saturday (tech cell, forwarded line, voicemail) is not published — Sam's first question.</t>
        </is>
      </c>
      <c r="U16" s="9" t="inlineStr"/>
      <c r="V16" s="10" t="inlineStr"/>
      <c r="W16" s="9" t="inlineStr"/>
      <c r="X16" s="10" t="inlineStr"/>
      <c r="Y16" s="9" t="inlineStr"/>
      <c r="Z16" s="10" t="inlineStr"/>
      <c r="AA16" s="11">
        <f>IF(A16="","",IF(OR(V16="Game Plan Call booked",V16="Do not call",V16="Not interested",V16="Email captured (GEO audit)",X16="Game Plan Call booked",X16="Do not call",X16="Not interested",X16="Email captured (GEO audit)",Y16&lt;&gt;""),"Done",IF(W16&lt;&gt;"",W16+3,IF(U16&lt;&gt;"",U16+2,"Call today"))))</f>
        <v/>
      </c>
      <c r="AB16" s="10" t="inlineStr"/>
      <c r="AC16" s="9" t="inlineStr"/>
      <c r="AD16" s="10" t="inlineStr"/>
      <c r="AE16" s="8" t="inlineStr">
        <is>
          <t>https://www.griffithhvac.com</t>
        </is>
      </c>
      <c r="AF16" s="8" t="inlineStr">
        <is>
          <t>kgriffith@griffithhvac.com</t>
        </is>
      </c>
    </row>
    <row r="17" ht="110" customHeight="1">
      <c r="A17" s="8" t="inlineStr">
        <is>
          <t>20261013-16</t>
        </is>
      </c>
      <c r="B17" s="8" t="inlineStr">
        <is>
          <t>Infinity Garage Door Repair</t>
        </is>
      </c>
      <c r="C17" s="8" t="inlineStr">
        <is>
          <t>Kevin Tzyoni</t>
        </is>
      </c>
      <c r="D17" s="8" t="inlineStr">
        <is>
          <t>Owner</t>
        </is>
      </c>
      <c r="E17" s="8" t="inlineStr">
        <is>
          <t>+1 702-890-3611</t>
        </is>
      </c>
      <c r="F17" s="8" t="inlineStr">
        <is>
          <t>+1 702-890-3611 (main line; same number on site header tel: link, BBB, LinkedIn posts, Nextdoor; static, no call-tracking swap seen)</t>
        </is>
      </c>
      <c r="G17" s="8" t="inlineStr">
        <is>
          <t>Las Vegas</t>
        </is>
      </c>
      <c r="H17" s="8" t="inlineStr">
        <is>
          <t>NV</t>
        </is>
      </c>
      <c r="I17" s="8" t="inlineStr">
        <is>
          <t>PT</t>
        </is>
      </c>
      <c r="J17" s="8" t="inlineStr">
        <is>
          <t>Tue–Thu 7:30–8:30 AM PT before the first dispatch, with 4:30–5:30 PM PT as the fallback. Reason: no office staff, dispatcher or answering service is published; reviews show the person who answers is the tech who then drives out ('first company that I called, he came to my house within 20 minutes'), so mid-day calls land on someone under a door. Skip Saturday (weekend calls are paying emergencies and the legacy listing says closed).</t>
        </is>
      </c>
      <c r="K17" s="8" t="inlineStr">
        <is>
          <t>Open 24/7 per site header, footer and Contact FAQ ('we answer 24 hours a day, 7 days a week'); Google Business Profile (via serviceagent.ai mirror) lists Open 24 hours Mon–Sun. A stale Nextdoor listing under the old domain shows Saturday: Closed — ignore. Form messages answered 'the same business day'.</t>
        </is>
      </c>
      <c r="L17" s="8" t="inlineStr">
        <is>
          <t>No office manager, dispatcher or answering service is named anywhere (site, BBB, Nextdoor, GBP mirror, 320 reviews); the Contact page says 'one call reaches the whole team', so the main line (702) 890-3611 almost certainly rings a tech's or owner's cell. Reviews name Tommy (Tomer Harush — BBB-listed Owner, site Lead Technician) as the person who shows up 8 times, Kevin twice, Danny once. If Tommy answers, he is a decision-maker, not a gatekeeper: run the opener on him and ask 'are you and Kevin the owners?' rather than asking for 'the owner'. Ask for Kevin by name; if he is on a job, get a 10-minute window instead of leaving a message (no voicemail-reply behavior observed). No cell published and no SMS consent on file — do not text. Do not use the web form (answered 'same business day'). Soft note only, never a lead: the site still has a '(555) 123-4567' template placeholder in its HTML, so nobody is QA-ing the OutDo OS vendor.</t>
        </is>
      </c>
      <c r="M17" s="8" t="n">
        <v>54</v>
      </c>
      <c r="N17" s="8" t="inlineStr">
        <is>
          <t>Growth-Minded Operator (medium confidence; secondary: Tech-Forward Early Adopter)</t>
        </is>
      </c>
      <c r="O17" s="8" t="inlineStr">
        <is>
          <t>Voice AI live demo built from infinitygaragedoorrepair.com (generic home-services template: trade = garage door repair, problem = door stuck / car trapped), paired with missed-call text-back for the Saturday and mid-job gaps; demo_build = yes (D2 &gt;= 9). Secondary: free AI Search Visibility audit only after the spot-check is run (site already has schema, so do not pitch an AI-readable rebuild).</t>
        </is>
      </c>
      <c r="P17" s="8" t="inlineStr">
        <is>
          <t>Hi, is this Kevin? Kevin, this is Sam with Eat 4 Life Marketing — straight up, this is a cold call. I was on your new site last night: the emergency page promises 'reach a real person 24/7 or schedule online in under a minute,' but there's no scheduler behind it, so every night and weekend job rides on whoever can grab the phone while they're under a door. We build a receptionist line trained on Infinity's own site that answers every call that rings out, asks the stuck-door questions, and books the visit — and you call the demo number and hear it before you pay a dollar. Can I take 20 seconds to explain how it works, and then you tell me if it's worth a longer look?</t>
        </is>
      </c>
      <c r="Q17" s="8" t="inlineStr">
        <is>
          <t>You're already winning the night calls when you can grab the phone - the question is the Saturday call, or the one that rings while Tommy is mid-spring-job and it goes to voicemail, because that homeowner just dials the next listing. We build a receptionist line trained on your own site that answers every call you miss, asks the door-stuck / car-trapped questions, and books the visit - and you call the demo number and hear it before you pay anything. Going live is one forwarding rule for missed or busy calls; rollback is one dial code.</t>
        </is>
      </c>
      <c r="R17" s="8" t="inlineStr">
        <is>
          <t>'We already answer 24/7 ourselves - a real person picks up.' Answer: 'Good, then nothing changes on the calls you catch; this only takes the ones that ring out or hit voicemail while you're on a job or on a Saturday, and you can hear exactly how it handles a stuck-door call on the demo line first.'</t>
        </is>
      </c>
      <c r="S17" s="8" t="inlineStr">
        <is>
          <t>A Google review from about a month ago (shown on the site's Reviews page): the customer's door broke at 10pm, 'I called several other "24/7" places and no one answered or they could not come out until the morning' - and Infinity was the one that showed up. Pair with the brand-new website (all pages rebuilt Aug 18 - Sep 28, 2026). Reference as a pattern; do not name the reviewer.</t>
        </is>
      </c>
      <c r="T17" s="8" t="inlineStr">
        <is>
          <t>Site claims live coverage: header 'Open 24/7'; Contact FAQ 'we answer 24 hours a day, 7 days a week'; Emergency page 'Reach a real person 24/7 or schedule online in under a minute' (no scheduler exists). JSON-LD openingHours 00:00-23:59 all seven days. Contradiction: Nextdoor listing hours read 'Saturday: Closed' (other days 'midnight-11:59 PM'). No answering service, call center or AI receptionist vendor in page source or copy (null logged). A review ~1 month ago shows they did pick up a 10pm call when other '24/7' shops did not, so night answering is at least sometimes real; who answers (owner cell vs. service) is not published. Form leads: 'Messages sent through the form are answered the same business day.'</t>
        </is>
      </c>
      <c r="U17" s="9" t="inlineStr"/>
      <c r="V17" s="10" t="inlineStr"/>
      <c r="W17" s="9" t="inlineStr"/>
      <c r="X17" s="10" t="inlineStr"/>
      <c r="Y17" s="9" t="inlineStr"/>
      <c r="Z17" s="10" t="inlineStr"/>
      <c r="AA17" s="11">
        <f>IF(A17="","",IF(OR(V17="Game Plan Call booked",V17="Do not call",V17="Not interested",V17="Email captured (GEO audit)",X17="Game Plan Call booked",X17="Do not call",X17="Not interested",X17="Email captured (GEO audit)",Y17&lt;&gt;""),"Done",IF(W17&lt;&gt;"",W17+3,IF(U17&lt;&gt;"",U17+2,"Call today"))))</f>
        <v/>
      </c>
      <c r="AB17" s="10" t="inlineStr"/>
      <c r="AC17" s="9" t="inlineStr"/>
      <c r="AD17" s="10" t="inlineStr"/>
      <c r="AE17" s="8" t="inlineStr">
        <is>
          <t>https://infinitygaragedoorrepair.com/</t>
        </is>
      </c>
      <c r="AF17" s="8" t="inlineStr">
        <is>
          <t>infinitygaragelv@gmail.com</t>
        </is>
      </c>
    </row>
    <row r="18" ht="110" customHeight="1">
      <c r="A18" s="8" t="inlineStr">
        <is>
          <t>20261013-17</t>
        </is>
      </c>
      <c r="B18" s="8" t="inlineStr">
        <is>
          <t>Gary Munson Heating &amp; A/C Service, Inc.</t>
        </is>
      </c>
      <c r="C18" s="8" t="inlineStr">
        <is>
          <t>Gary Munson</t>
        </is>
      </c>
      <c r="D18" s="8" t="inlineStr">
        <is>
          <t>Founder</t>
        </is>
      </c>
      <c r="E18" s="8" t="inlineStr">
        <is>
          <t>+1 407-859-1494</t>
        </is>
      </c>
      <c r="F18" s="8" t="inlineStr">
        <is>
          <t>+1 407-859-1494 (main line: site header tel: link, BBB, Winter Park Chamber, Blue Book). Other published numbers: +1 407-955-9648 on the Google Business Profile (serviceagent.ai GBP pull) and +1 407-794-4882 on EnergySage — three distinct numbers across channels, consistent with call-tracking numbers; vendor not identified. Fax +1 407-894-0746 (BBB/Chamber).</t>
        </is>
      </c>
      <c r="G18" s="8" t="inlineStr">
        <is>
          <t>Orlando</t>
        </is>
      </c>
      <c r="H18" s="8" t="inlineStr">
        <is>
          <t>FL</t>
        </is>
      </c>
      <c r="I18" s="8" t="inlineStr">
        <is>
          <t>America/New_York (Eastern Time; Orlando, FL)</t>
        </is>
      </c>
      <c r="J18" s="8" t="inlineStr">
        <is>
          <t>Tue–Thu 8:00–8:45 AM ET, right at office open before techs dispatch (office staffed from 8; the About page says Gary is 'still active in the company'), with a fallback of 3:30–4:15 PM ET before the posted 4:30 close. Avoid Monday mornings (weekend emergency backlog in a 7-day-emergency shop) and do not dial after 4:30 — the line may roll to whatever handles their '24/7 Live Customer Support', which wastes the call. Florida window is 8am–8pm; manual dial only.</t>
        </is>
      </c>
      <c r="K18" s="8" t="inlineStr">
        <is>
          <t>Site: 'Office Hours: Monday – Friday 8am-4:30pm'; 'Emergency Service Available 7 Days a Week'. Google Business Profile (via serviceagent.ai pull): Mon–Fri 8 AM–5 PM, Saturday Closed, Sunday Closed; 'Emergency service' listed as a service.</t>
        </is>
      </c>
      <c r="L18" s="8" t="inlineStr">
        <is>
          <t>Main line +1 407-859-1494 is the office line, staffed Mon–Fri from 8. Known office names: 'Maggie' (site review: 'Maggie (I think that was her name) was friendly and responsive'); 'Paula' listed as a company representative on the Winter Park Chamber page (no title). Second decision-maker: AJ Munson, 'Marketing / Estimator' (Chamber) — if Gary is out, ask for AJ since he owns marketing conversations; Debbera K Munson is a BBB-listed Director. No owner cell or direct line is published; no answering-service vendor is named. Suggested line: 'Hi, this is Sam — is Gary in this morning, or is AJ the one who handles marketing calls?' Whatever answers after 4:30 (person, service, voicemail) should be logged to update D2. Note the three different published numbers (site, GBP, EnergySage): dial the site number so the call is not attributed to a tracking source.</t>
        </is>
      </c>
      <c r="M18" s="8" t="n">
        <v>54</v>
      </c>
      <c r="N18" s="8" t="inlineStr">
        <is>
          <t>Family-Legacy Pride Brand (primary); Growth-Minded Operator (secondary)</t>
        </is>
      </c>
      <c r="O18" s="8" t="inlineStr">
        <is>
          <t>Voice AI live demo built from munsonairconditioning.com (DEMO PATH, call-first to Sam) — framed as the overflow and after-hours line for a human-first shop, never as a replacement for the front-desk hire; ask #2 is the free AI-visibility check for 'emergency AC repair near Orlando'. Seasonal urgency angle: fall maintenance/heating prep + current promos driving calls into an office with an open front-desk seat.</t>
        </is>
      </c>
      <c r="P18" s="8" t="inlineStr">
        <is>
          <t>"Hi, is Gary in? Gary, this is Sam with Eat 4 Life Marketing — this is a cold call, so I'll be quick and you can tell me to get lost. I was on your site this week: you've got Front Desk Office Staff posted, and you promise emergency service seven days a week while the office closes at 4:30. We build a phone line trained on your own company that picks up the overflow and the after-hours calls, sorts out who's got no AC, and books them — a real person still handles everything else. Before you pay a dollar, we build a demo line for Gary Munson Heating you can call and hear yourself. Can I take 20 seconds to ask who's catching those calls right now, or is there a better time for Sebastian to walk you through it?"</t>
        </is>
      </c>
      <c r="Q18" s="8" t="inlineStr">
        <is>
          <t>Overflow and after-hours coverage for a 48-year family shop that says 'no frustrating automated systems': while the front-desk seat is open and after 4:30 on weekdays and all weekend, a line trained on Gary Munson's own site picks up, sorts AC-out/no-heat/maintenance calls, and books them into the existing schedule — a person still handles everything they can. Protect the MVP plan promises ('priority service', reminder calls) and the 633-review reputation. Do not say 'AI receptionist' first; say 'a line that answers when the office can't'. Coexist with iMarket Solutions (web/SEO) — this is phone coverage, not marketing replacement. Second ask: who ChatGPT names for emergency AC repair in Orlando.</t>
        </is>
      </c>
      <c r="R18" s="8" t="inlineStr">
        <is>
          <t>'We already have 24/7 live support — a real person answers' (their maintenance page says exactly that). Response: good, then this only touches what that setup misses — the daytime overflow while the front-desk seat is empty and anything that still rolls to voicemail — and go-live is one conditional call-forwarding rule for missed/busy calls only, with a one-dial-code rollback; hear the demo line before deciding anything. Secondary: 'iMarket handles our marketing' → this is not web or SEO; it is phone coverage that books into what they already run.</t>
        </is>
      </c>
      <c r="S18" s="8" t="inlineStr">
        <is>
          <t>The live careers posting for 'Front Desk Office Staff' (https://www.munsonairconditioning.com/contact/careers, header banner 'We Are Hiring! View Open Positions', seen 2026-10-12) set against the site's own promise 'Emergency Service Available 7 Days a Week' with 'Office Hours: Monday – Friday 8am-4:30pm'. Bridge with their self-description 'Innovation-First Approach to Everything We Do' — this is the phone version of that. Secondary: 48 years and 633 reviews as the safe compliment.</t>
        </is>
      </c>
      <c r="T18" s="8" t="inlineStr">
        <is>
          <t>Claims vs hours conflict, mechanism unconfirmed. Site: 'Emergency Service Available 7 Days a Week' (header/footer) and 'You can rely on us for 24-hour emergency service when you have a summer cooling emergency' (home) vs 'Office Hours: Monday – Friday 8am-4:30pm' (home/contact). GBP (serviceagent.ai pull): Mon–Fri 8 AM–5 PM, Saturday Closed, Sunday Closed, 'Emergency service' listed. Maintenance page: 'Our 24/7 Live Customer Support ensures that whenever a problem arises, a real human is ready to assist you—no frustrating automated systems, just real help when you need it.' No answering-service vendor, forwarding rule or on-call process is named anywhere. Sam must record who answers after 4:30 (own staff, service, forwarded cell, or voicemail).</t>
        </is>
      </c>
      <c r="U18" s="9" t="inlineStr"/>
      <c r="V18" s="10" t="inlineStr"/>
      <c r="W18" s="9" t="inlineStr"/>
      <c r="X18" s="10" t="inlineStr"/>
      <c r="Y18" s="9" t="inlineStr"/>
      <c r="Z18" s="10" t="inlineStr"/>
      <c r="AA18" s="11">
        <f>IF(A18="","",IF(OR(V18="Game Plan Call booked",V18="Do not call",V18="Not interested",V18="Email captured (GEO audit)",X18="Game Plan Call booked",X18="Do not call",X18="Not interested",X18="Email captured (GEO audit)",Y18&lt;&gt;""),"Done",IF(W18&lt;&gt;"",W18+3,IF(U18&lt;&gt;"",U18+2,"Call today"))))</f>
        <v/>
      </c>
      <c r="AB18" s="10" t="inlineStr"/>
      <c r="AC18" s="9" t="inlineStr"/>
      <c r="AD18" s="10" t="inlineStr"/>
      <c r="AE18" s="8" t="inlineStr">
        <is>
          <t>https://www.munsonairconditioning.com</t>
        </is>
      </c>
      <c r="AF18" s="8" t="inlineStr">
        <is>
          <t>Not found</t>
        </is>
      </c>
    </row>
    <row r="19" ht="110" customHeight="1">
      <c r="A19" s="8" t="inlineStr">
        <is>
          <t>20261013-18</t>
        </is>
      </c>
      <c r="B19" s="8" t="inlineStr">
        <is>
          <t>New Era Plumbing LLC</t>
        </is>
      </c>
      <c r="C19" s="8" t="inlineStr">
        <is>
          <t>Joshua McCaughty (site spelling; ACC statutory-agent record spells it "Mcaughty": "Joshua Cameron Mcaughty")</t>
        </is>
      </c>
      <c r="D19" s="8" t="inlineStr">
        <is>
          <t>Owner / Founder</t>
        </is>
      </c>
      <c r="E19" s="8" t="inlineStr">
        <is>
          <t>+1 480-440-6730</t>
        </is>
      </c>
      <c r="F19" s="8" t="inlineStr">
        <is>
          <t>+1 480-440-6730 (site header/footer tel: links x32; matches ACC-mirrored directories; labeled "Emergency Line" on site)</t>
        </is>
      </c>
      <c r="G19" s="8" t="inlineStr">
        <is>
          <t>Mesa (site HQ: 1660 S Alma School Rd Ste 226; GBP pin and ACC registered address are Chandler, 1317 W Palomino Dr)</t>
        </is>
      </c>
      <c r="H19" s="8" t="inlineStr">
        <is>
          <t>AZ</t>
        </is>
      </c>
      <c r="I19" s="8" t="inlineStr">
        <is>
          <t>America/Phoenix — MST year-round, UTC-7 (Arizona does not observe DST: same clock as Los Angeles until Nov 1, 2026, then 1 hour ahead of LA)</t>
        </is>
      </c>
      <c r="J19" s="8" t="inlineStr">
        <is>
          <t>Tue-Thu 7:00-8:15 AM MST (= Pacific time until Nov 1) — the site says the owner answers the main line himself ("Ask for Josh", "You're getting Josh") and "most days he is the one standing on your doorstep", so catch him before the first dispatch; avoid Monday mornings (weekend emergency backlog for a 24/7 one-crew shop). Backup window: 4:30-5:30 PM MST. If he answers mid-job, ask for a 2-minute callback slot rather than pitching.</t>
        </is>
      </c>
      <c r="K19" s="8" t="inlineStr">
        <is>
          <t>Site footer: "Open 24/7 – emergency service always available, including holidays"; About: "Hours: open 24/7, including nights, weekends and holidays"; GBP (per serviceagent.ai mirror of Google Business Profile): "Open 24 hours, Monday through Sunday"</t>
        </is>
      </c>
      <c r="L19" s="8" t="inlineStr">
        <is>
          <t>No gatekeeper identified. Site states the owner answers: "You call. Josh or a team member answers" and "Call (480) 440-6730 any hour of any day. Ask for Josh." No office manager, dispatcher, or CSR named on the site, in on-site reviews, or in any job post (none found). Site explicitly says no answering service and no call center ("a person, not a recording or an overnight answering service"). Expect Josh himself or a crew member on the main line; if a crew member answers, ask for Josh by first name and offer to call back at a time he names. No ROC license number published ("proof available upon request" style claim: "Licensed &amp; Insured"), so do not reference a license number.</t>
        </is>
      </c>
      <c r="M19" s="8" t="n">
        <v>54</v>
      </c>
      <c r="N19" s="8" t="inlineStr">
        <is>
          <t>Overwhelmed Owner-Operator (primary, medium confidence) / Growth-Minded Operator (secondary)</t>
        </is>
      </c>
      <c r="O19" s="8" t="inlineStr">
        <is>
          <t>Voice AI live demo built from neweraplumbingaz.com — emergency/overflow angle: the agent takes only the calls Josh physically cannot (busy/missed, conditional forwarding), qualifies the homeowner (name, number, address, problem, urgency) and books the window; pair with missed-call text-back. demo_build = yes (phone-first, site scrapable, D2 = 9). Run one GEO money question before send to re-score D4; hold the GEO pitch for later because the incumbent web vendor sells GEO/AEO. Door-opener = demo number (not Scorecard) because the pain is structural, not quotable.</t>
        </is>
      </c>
      <c r="P19" s="8" t="inlineStr">
        <is>
          <t>"Hi, Josh? Sam with Eat 4 Life Marketing — this is a cold call, so I'll be quick. Your site says when someone calls New Era they get you, not a call center, 24/7, holidays included. Honest question: when you're mid water-heater swap and the second call hits, where does it land? We build a demo line trained on your own website that picks up that call, gets the homeowner's details, and books it — you can hear it before you pay a dollar. Can I take 20 seconds to tell you how it works?"</t>
        </is>
      </c>
      <c r="Q19" s="8" t="inlineStr">
        <is>
          <t>Overflow coverage that protects his own brand promise: he keeps answering every call he can; the demo line (trained on his site: flat-rate pricing, 60-minute response, Mesa/East Valley service area, water heaters, sewer, repipe) only catches the busy/missed ones, gets the homeowner's details and books the arrival window, then texts the caller back. Proof lever: "call the demo number and try to break it before you pay a dollar." Go-live is one conditional call-forwarding rule; rollback is one dial code. Do not say "you're missing calls" (no evidence) — say "the second call". Do not pitch GEO or schema on the first touch.</t>
        </is>
      </c>
      <c r="R19" s="8" t="inlineStr">
        <is>
          <t>"A real person answering is my whole brand — I don't want a robot talking to my customers." Reply: nothing changes when he picks up; forwarding fires only when the line is busy or unanswered, which today is the exact moment a homeowner hears voicemail and calls the next plumber; the agent is trained on his own site, he can hear it first on the demo number, and he can turn it off with one dial code. Secondary objection: budget/size (2022, small crew) — keep to the demo and the Game Plan Call, no numbers.</t>
        </is>
      </c>
      <c r="S19" s="8" t="inlineStr">
        <is>
          <t>The 2026 site rebuild and its own headline: "The owner answers the phone. The owner shows up. That's the whole idea!" (https://neweraplumbingaz.com/about-new-era-plumbing-mesa-az/). Opener in Sebastian's voice: "Your new site says it straight: the owner answers the phone, the owner shows up. Curious who answers when you're the one under the sink." Why it works: it quotes him, it's recent (page published Apr 2026), it's positive, and it points at the exact gap the demo fills without judging him.</t>
        </is>
      </c>
      <c r="T19" s="8" t="inlineStr">
        <is>
          <t>claims_24_7 — own staff: site says a real person (the owner) answers 24/7/365: "Call (480) 440-6730 any time — you'll reach a real person, not an answering service" (homepage FAQ); "you will reach a person, not a recording or an overnight answering service" (About). No answering-service, call-center, or AI-receptionist vendor in page source. No review evidence either way on after-hours experience (GBP not readable). The after-hours promise rests on a one-crew owner-operator.</t>
        </is>
      </c>
      <c r="U19" s="9" t="inlineStr"/>
      <c r="V19" s="10" t="inlineStr"/>
      <c r="W19" s="9" t="inlineStr"/>
      <c r="X19" s="10" t="inlineStr"/>
      <c r="Y19" s="9" t="inlineStr"/>
      <c r="Z19" s="10" t="inlineStr"/>
      <c r="AA19" s="11">
        <f>IF(A19="","",IF(OR(V19="Game Plan Call booked",V19="Do not call",V19="Not interested",V19="Email captured (GEO audit)",X19="Game Plan Call booked",X19="Do not call",X19="Not interested",X19="Email captured (GEO audit)",Y19&lt;&gt;""),"Done",IF(W19&lt;&gt;"",W19+3,IF(U19&lt;&gt;"",U19+2,"Call today"))))</f>
        <v/>
      </c>
      <c r="AB19" s="10" t="inlineStr"/>
      <c r="AC19" s="9" t="inlineStr"/>
      <c r="AD19" s="10" t="inlineStr"/>
      <c r="AE19" s="8" t="inlineStr">
        <is>
          <t>https://neweraplumbingaz.com</t>
        </is>
      </c>
      <c r="AF19" s="8" t="inlineStr">
        <is>
          <t>Not found (no personal address; only management@neweraplumbingaz.com on site — see company_email_generic)</t>
        </is>
      </c>
    </row>
    <row r="20" ht="110" customHeight="1">
      <c r="A20" s="8" t="inlineStr">
        <is>
          <t>20261013-19</t>
        </is>
      </c>
      <c r="B20" s="8" t="inlineStr">
        <is>
          <t>TrueBright Electric</t>
        </is>
      </c>
      <c r="C20" s="8" t="inlineStr">
        <is>
          <t>Roman Scarlato</t>
        </is>
      </c>
      <c r="D20" s="8" t="inlineStr">
        <is>
          <t>President</t>
        </is>
      </c>
      <c r="E20" s="8" t="inlineStr">
        <is>
          <t>+1 407-203-8999</t>
        </is>
      </c>
      <c r="F20" s="8" t="inlineStr">
        <is>
          <t>+1 407-203-8999 (only number anywhere: site header/hero/floating Call Now bar/footer, 7 tel: links all +14072038999; BBB lists the same)</t>
        </is>
      </c>
      <c r="G20" s="8" t="inlineStr">
        <is>
          <t>Orlando</t>
        </is>
      </c>
      <c r="H20" s="8" t="inlineStr">
        <is>
          <t>FL</t>
        </is>
      </c>
      <c r="I20" s="8" t="inlineStr">
        <is>
          <t>America/New_York (Eastern Time; Orlando, FL)</t>
        </is>
      </c>
      <c r="J20" s="8" t="inlineStr">
        <is>
          <t>Tue–Thu 8:00–8:30 AM ET — Florida's telemarketing floor is 8 AM, so do not dial at the 7 AM open; crews are being dispatched and the owner of a father-and-son shop is most likely still at the office line before heading out. Backup: Tue–Thu 4:30–5:45 PM ET, before the 6 PM close when techs are wrapping and the phone is quieter. Avoid Monday mornings (dispatch pile-up) and Friday afternoons. Never after 8 PM ET (FL rule).</t>
        </is>
      </c>
      <c r="K20" s="8" t="inlineStr">
        <is>
          <t>Mon–Fri 7:00 AM–6:00 PM, "emergency line available" (site contact page: "Mon–Fri 7AM–6PM · emergency line available"). Google Business Profile hours not readable this run — confirm on GBP before the call.</t>
        </is>
      </c>
      <c r="L20" s="8" t="inlineStr">
        <is>
          <t>No office manager, dispatcher, or CSR is named anywhere (site, careers page, BBB) and the careers page lists only electrician roles, so the main line (+1 407-203-8999) is most likely answered by Roman, the other family partner (Expertise.com: "father-and-son team" — name not found), or a tech from a truck. Contact page says "Talk to a real human." Ask for Roman by name ("Is Roman around?"); if a tech answers, ask when Roman is back at the shop and whether early morning or late afternoon is better. No owner cell published. hello@truebrightfl.com is the only mailbox (Microsoft 365). Florida: manual human dial only, 8 AM–8 PM ET; no texting (no consent). BBB lists Roman A. Scarlato as President — use the full name if asked who you're calling for.</t>
        </is>
      </c>
      <c r="M20" s="8" t="n">
        <v>53</v>
      </c>
      <c r="N20" s="8" t="inlineStr">
        <is>
          <t>Growth-Minded Operator (secondary cues: Tech-Forward — SMS confirmations, custom site/back-office, schema; and Family-run pride)</t>
        </is>
      </c>
      <c r="O20" s="8" t="inlineStr">
        <is>
          <t>Voice AI live demo built from truebrightfl.com (after-hours/overflow receptionist that triages "sparking / burning smell" as urgent, books panel/EV/generator estimates) + missed-call text-back (they already text customers, so the habit exists). Secondary door-opener: free AI Search Visibility audit framed around the rebrand — do ChatGPT/Perplexity recommend "TrueBright" or still "ACDC Statewide"? Do NOT pitch a website (new STAK site, Jul 2026).</t>
        </is>
      </c>
      <c r="P20" s="8" t="inlineStr">
        <is>
          <t>"Hi, is this Roman? Roman, it's Sam with Eat 4 Life Marketing — full disclosure, this is a cold call, so hang up if you need to. I'll be quick. I was on the new TrueBright site — congrats on the rebrand. One thing jumped out: it's one number for everything, hours seven to six, and the emergency line is that same phone. We built a demo receptionist from your own website that picks up when you and the crew are on a job or it's nine on a Saturday, triages the sparking-outlet calls, books the panel and EV estimates, and texts back anything that gets missed. Can I take twenty seconds to tell you how to hear it, and you tell me if it's worth a real conversation?"</t>
        </is>
      </c>
      <c r="Q20" s="8" t="inlineStr">
        <is>
          <t>Relief + protect the promise, not growth hype. Facts the angle rests on: one number for everything including the "emergency line"; hours 7–6 weekdays; quote requests wait "one business day"; hiring three electricians and zero office staff; "Roman and his crew" = the owner's truck is the front desk. Pitch: we built a demo receptionist from your own site — it only takes the calls that already roll to voicemail after 6, on weekends, or while you're on a ladder, triages the sparking-outlet calls, books the $2k–$15k panel/EV/generator estimates, and texts back every missed call in under a minute. Go-live is one conditional call-forwarding rule for missed/busy calls; the "real human" still answers during hours. Second hook if they bite: the rebrand means AI assistants and directories may still say ACDC — we'll run the free audit and show who gets named for "emergency electrician near Orlando". Close on the Game Plan Call or the demo number.</t>
        </is>
      </c>
      <c r="R20" s="8" t="inlineStr">
        <is>
          <t>"We answer our own phones / we have an emergency line" (the site brags "one who answers the phone" and "Talk to a real human"). Response: agree and narrow it — this only catches calls that already go unanswered after 6 PM, on weekends, or when the crew is on a job, and the quote forms that currently wait a business day; nothing changes during hours. Second likely objection: "We just paid for the new site and we're busy hiring" — nothing to build on their side; the demo is already made from their site, go-live is one forwarding rule, rollback is one dial code. Possible price sensitivity (electrical playbook: smallest teams, price-sensitive) — no numbers on the call; pricing on the Game Plan Call.</t>
        </is>
      </c>
      <c r="S20" s="8" t="inlineStr">
        <is>
          <t>"Congrats on the TrueBright launch — new site live since July, BBB-accredited July 21, and a 'Talk to a real human' promise right on the contact page." Why: dated, positive, 84–92 days old, verifiable in 30 seconds at https://www.truebrightfl.com/contact and https://www.bbb.org/us/fl/orlando/profile/electrical-contractors/truebright-electric-0733-90199843.</t>
        </is>
      </c>
      <c r="T20" s="8" t="inlineStr">
        <is>
          <t>hours_only with an unconfirmed emergency claim. Contact page: "Hours | Mon–Fri 7AM–6PM · emergency line available" and "Emergency? Call (407) 203-8999 for fastest response." — the "emergency line" is the same single main number. No mention of 24/7 answering, an answering service, a call center, or an AI receptionist anywhere in the page source of /, /contact, /about, /careers, /services. Quote form: "No-obligation estimate. We'll follow up within one business day." GBP hours not readable this run.</t>
        </is>
      </c>
      <c r="U20" s="9" t="inlineStr"/>
      <c r="V20" s="10" t="inlineStr"/>
      <c r="W20" s="9" t="inlineStr"/>
      <c r="X20" s="10" t="inlineStr"/>
      <c r="Y20" s="9" t="inlineStr"/>
      <c r="Z20" s="10" t="inlineStr"/>
      <c r="AA20" s="11">
        <f>IF(A20="","",IF(OR(V20="Game Plan Call booked",V20="Do not call",V20="Not interested",V20="Email captured (GEO audit)",X20="Game Plan Call booked",X20="Do not call",X20="Not interested",X20="Email captured (GEO audit)",Y20&lt;&gt;""),"Done",IF(W20&lt;&gt;"",W20+3,IF(U20&lt;&gt;"",U20+2,"Call today"))))</f>
        <v/>
      </c>
      <c r="AB20" s="10" t="inlineStr"/>
      <c r="AC20" s="9" t="inlineStr"/>
      <c r="AD20" s="10" t="inlineStr"/>
      <c r="AE20" s="8" t="inlineStr">
        <is>
          <t>https://www.truebrightfl.com</t>
        </is>
      </c>
      <c r="AF20" s="8" t="inlineStr">
        <is>
          <t>hello@truebrightfl.com</t>
        </is>
      </c>
    </row>
    <row r="21" ht="110" customHeight="1">
      <c r="A21" s="8" t="inlineStr">
        <is>
          <t>20261013-20</t>
        </is>
      </c>
      <c r="B21" s="8" t="inlineStr">
        <is>
          <t>Jones Heating &amp; Air Conditioning Inc</t>
        </is>
      </c>
      <c r="C21" s="8" t="inlineStr">
        <is>
          <t>Lamar Jones</t>
        </is>
      </c>
      <c r="D21" s="8" t="inlineStr">
        <is>
          <t>Owner</t>
        </is>
      </c>
      <c r="E21" s="8" t="inlineStr">
        <is>
          <t>+1 801-972-8557</t>
        </is>
      </c>
      <c r="F21" s="8" t="inlineStr">
        <is>
          <t>+1 801-972-8557</t>
        </is>
      </c>
      <c r="G21" s="8" t="inlineStr">
        <is>
          <t>West Valley City</t>
        </is>
      </c>
      <c r="H21" s="8" t="inlineStr">
        <is>
          <t>UT</t>
        </is>
      </c>
      <c r="I21" s="8" t="inlineStr">
        <is>
          <t>America/Denver (Mountain Time)</t>
        </is>
      </c>
      <c r="J21" s="8" t="inlineStr">
        <is>
          <t>Tue-Thu 8:00-8:40 AM MT, right at open before trucks roll: reviews on the site place Lamar and Jeff in the field during the day ("Jeff and Lamar got to me promptly", "Called Jeff late afternoon. He was at my place the next morning"), so mid-day calls likely reach a phone in a truck. Second window: 4:30-5:25 PM MT before the 5:30 close. Never after 5:30 PM or weekends (closed).</t>
        </is>
      </c>
      <c r="K21" s="8" t="inlineStr">
        <is>
          <t>Mon-Fri 8:00 AM - 5:30 PM; Sat-Sun Closed (site footer on every page: "Mon - Fri: 8:00 AM - 5:30 PM Sat - Sun: Closed"; GBP mirror shows the same)</t>
        </is>
      </c>
      <c r="L21" s="8" t="inlineStr">
        <is>
          <t>No office manager, dispatcher, or receptionist is named anywhere public (site, BBB, reviews). Reviews indicate the line is answered by the people doing the work: "spoke with Jeff on the phone to get a second opinion" and "Called Jeff late afternoon" (https://www.jonesheatingandac.com/reviews/) - Jeff is likely to answer and is praised by customers, so treat him as an ally, not a gatekeeper: "Hi Jeff, is Lamar around this morning?" If Jeff is the one on the line, give him the demo number too. BBB lists co-owner Gundi Jones; a "Dion Jones" appears in a review and matches the site's email handle (dionj7@gmail.com) but no role is published - ask, do not assume ("who handles the office side - is that Dion?"). Voicemail likely outside Mon-Fri 8:00-5:30 MT. Do not mention the BuildZoom license note on the call.</t>
        </is>
      </c>
      <c r="M21" s="8" t="n">
        <v>52</v>
      </c>
      <c r="N21" s="8" t="inlineStr">
        <is>
          <t>Family-Legacy Pride Brand</t>
        </is>
      </c>
      <c r="O21" s="8" t="inlineStr">
        <is>
          <t>Voice AI live demo line built from jonesheatingandac.com (demo_build = yes: D2 = 15, site scrapable), positioned as after-hours/holiday/overflow coverage trained on the three-generation story; pair with missed-call text-back. Run one GEO money question first to unblock D4 and re-score.</t>
        </is>
      </c>
      <c r="P21" s="8" t="inlineStr">
        <is>
          <t>"Hi, is this Lamar? Lamar, this is Sam with Eat 4 Life Marketing - this is a cold call, so feel free to hang up, but give me twenty seconds. I was on your site - three generations, 58 years on 3300 South - and it says you do emergency repairs even on holidays, but the hours show closed nights and weekends. So when a no-heat call comes in Saturday night, who picks up right now - you, voicemail, or nobody? We built a demo line trained on your own website that answers those calls and books the visit, and you can call it before you spend a dollar. Can I take twenty seconds to tell you how it works, and you decide if it's worth a look?"</t>
        </is>
      </c>
      <c r="Q21" s="8" t="inlineStr">
        <is>
          <t>Family-Legacy + after-hours gap, seasonal urgency. Respect the three generations and 58 years first, then the plain observation: the site promises emergency repairs even on holidays while hours show closed nights and weekends, and their own customers describe waiting for the first big storm to find the furnace down - those are the calls that ring after 5:30. Frame the voice agent as protection of the name: a receptionist trained on Jones's own story that answers only the calls they already miss, books the visit, and texts back every missed call; a human still answers when they can. Proof lever: the demo line they can call before paying a dollar. Go-live is one conditional call-forwarding rule, rollback is one dial code. Lead with missed calls, not "AI".</t>
        </is>
      </c>
      <c r="R21" s="8" t="inlineStr">
        <is>
          <t>"We're a family shop - Jeff and I answer the phone ourselves and our customers want a real person, not a robot." Answer: agree, keep it that way; this only picks up what already goes to voicemail after 5:30, on weekends, and when both of you are under a furnace; it is trained on your own site so callers hear Jones, and you can hear it yourself on the demo line before deciding. Secondary: "We're busy enough in winter" - position as capturing the after-hours emergencies that otherwise go to the next name on Google, plus maintenance-plan renewals.</t>
        </is>
      </c>
      <c r="S21" s="8" t="inlineStr">
        <is>
          <t>Heating season opening now plus the legacy: "Three generations on 3300 South, and your own customers say they wait for the first big storm to find out the furnace is down - that's the call that comes after 5:30." Why: site hours vs. "emergency HVAC repairs, even on holidays" (https://www.jonesheatingandac.com/) and the review "I waited until the first big storm to turn on my heater and discover it was flagging" (https://www.jonesheatingandac.com/reviews/).</t>
        </is>
      </c>
      <c r="T21" s="8" t="inlineStr">
        <is>
          <t>Gap confirmed from the business's own site: hours "Mon - Fri: 8:00 AM - 5:30 PM Sat - Sun: Closed" on every page, alongside "we offer emergency HVAC repairs, even on holidays, ensuring you're never left without a solution. No matter when your system falters, our swift response..." (https://www.jonesheatingandac.com/). No answering service, call center, 24/7 line, or AI receptionist mentioned on the site or in page source. Who picks up after 5:30 is unstated.</t>
        </is>
      </c>
      <c r="U21" s="9" t="inlineStr"/>
      <c r="V21" s="10" t="inlineStr"/>
      <c r="W21" s="9" t="inlineStr"/>
      <c r="X21" s="10" t="inlineStr"/>
      <c r="Y21" s="9" t="inlineStr"/>
      <c r="Z21" s="10" t="inlineStr"/>
      <c r="AA21" s="11">
        <f>IF(A21="","",IF(OR(V21="Game Plan Call booked",V21="Do not call",V21="Not interested",V21="Email captured (GEO audit)",X21="Game Plan Call booked",X21="Do not call",X21="Not interested",X21="Email captured (GEO audit)",Y21&lt;&gt;""),"Done",IF(W21&lt;&gt;"",W21+3,IF(U21&lt;&gt;"",U21+2,"Call today"))))</f>
        <v/>
      </c>
      <c r="AB21" s="10" t="inlineStr"/>
      <c r="AC21" s="9" t="inlineStr"/>
      <c r="AD21" s="10" t="inlineStr"/>
      <c r="AE21" s="8" t="inlineStr">
        <is>
          <t>https://www.jonesheatingandac.com</t>
        </is>
      </c>
      <c r="AF21" s="8" t="inlineStr">
        <is>
          <t>dionj7@gmail.com (the only published email; company contact inbox on the site, free-mail, NOT attributed to Lamar Jones or any named person - do not address it to a name)</t>
        </is>
      </c>
    </row>
    <row r="22" ht="110" customHeight="1">
      <c r="A22" s="8" t="inlineStr">
        <is>
          <t>20261013-21</t>
        </is>
      </c>
      <c r="B22" s="8" t="inlineStr">
        <is>
          <t>Sacramento Plumbing Solutions</t>
        </is>
      </c>
      <c r="C22" s="8" t="inlineStr">
        <is>
          <t>Michael Grijalva (Jr.)</t>
        </is>
      </c>
      <c r="D22" s="8" t="inlineStr">
        <is>
          <t>Owner</t>
        </is>
      </c>
      <c r="E22" s="8" t="inlineStr">
        <is>
          <t>+1 916-275-4716</t>
        </is>
      </c>
      <c r="F22" s="8" t="inlineStr">
        <is>
          <t>+1 916-275-4716 (site header tel: link, BBB, CSLB business phone — CONFIRMED main line)</t>
        </is>
      </c>
      <c r="G22" s="8" t="inlineStr">
        <is>
          <t>Sacramento</t>
        </is>
      </c>
      <c r="H22" s="8" t="inlineStr">
        <is>
          <t>CA</t>
        </is>
      </c>
      <c r="I22" s="8" t="inlineStr">
        <is>
          <t>America/Los_Angeles (Pacific Time)</t>
        </is>
      </c>
      <c r="J22" s="8" t="inlineStr">
        <is>
          <t>Tue–Thu 7:00–8:00 AM PT — inside their stated phone hours (start 7am) and before crews dispatch; reviews say Mike answers the line himself early ('Mike answered my call early in the morning'). Backup window: Tue–Thu 4:00–5:30 PM PT when trucks are wrapping up but phone hours run to 7pm. Avoid Mondays (post-weekend emergency backlog) and never after 7pm or Sundays (phone closed).</t>
        </is>
      </c>
      <c r="K22" s="8" t="inlineStr">
        <is>
          <t>Site header/footer: Mon–Fri 8am–5pm; Saturday Closed; Sunday Closed. Contact page 'Phone Hours': Mon–Sat 7am–7pm; Sunday Closed. Emergency page: '24 hour service call 6 days a week Monday through Saturday'. Google Business Profile hours: Not found (not retrievable this run).</t>
        </is>
      </c>
      <c r="L22" s="8" t="inlineStr">
        <is>
          <t>Per the site's reviews page, the owner Mike frequently answers the main line himself ('Mike answered my call early in the morning', 'Mike, the owner, called me back quickly'), so ask for Mike by name. A 'Grace' handled scheduling per an Aug 2021 Yelp review ('Grace was friendly, informative, and easy to reach to schedule') and a May 2023 Google review mentions a 'She' who coordinated city inspections — LIKELY an office coordinator (stale, re-verify on the call). CSLB workers' comp carries code 8810 Clerical Office Employees, confirming at least one office person. No answering service or IVR detected. If office answers: 'Hi, is Mike around this morning? It's Sam — I've got a demo line built for your business he can call.' No owner cell published; main line only.</t>
        </is>
      </c>
      <c r="M22" s="8" t="n">
        <v>52</v>
      </c>
      <c r="N22" s="8" t="inlineStr">
        <is>
          <t>Family-Legacy Pride Brand (primary, medium confidence); secondary: Overwhelmed Owner-Operator (owner answers the phone himself; no reachability complaints found)</t>
        </is>
      </c>
      <c r="O22" s="8" t="inlineStr">
        <is>
          <t>Voice AI live demo built from sacramentoplumbingsolutions.com — emergency/after-hours angle (burst pipe at 2 a.m., Sunday calls, calls while Mike is under a sink); add missed-call text-back. demo_build = yes (D2 = 15, site scrapable). Door-opener: the demo number, not the Scorecard. Run one GEO money question before promoting (D4 blocker).</t>
        </is>
      </c>
      <c r="P22" s="8" t="inlineStr">
        <is>
          <t>"Hi, is this Mike? Mike, it's Sam with Eat 4 Life Marketing — straight up, this is a cold call, and I'll be quick. I was on your site: it says 'Available 24/7 for Emergencies,' but your phone hours stop at 7, and your reviews say you're the one picking up. We built a demo receptionist trained on Sacramento Plumbing Solutions' own site — it answers the 2 a.m. burst-pipe call, gets the name, number and address, books it, and texts you. You can call it and hear it before anything else happens. Can I take 20 seconds to tell you how it works, and if it's not for you, you tell me and I'm gone?"</t>
        </is>
      </c>
      <c r="Q22" s="8" t="inlineStr">
        <is>
          <t>Relief, not growth. Mike has been answering the phone himself since 2011 (reviews: 'Mike answered my call early in the morning', 'fix my leak after hours') while running a 10-person family crew as Lead Journeyman. The site promises 24/7 but posted phone hours end at 7pm with Sunday closed. Offer a demo line trained on their own site and family story that answers only the calls he already can't take (on a job, after 7, Sundays), gets name/number/address/urgency, books it, and texts him the summary; go-live is one conditional call-forwarding rule for missed/busy calls, rollback is one dial code. Frame as protecting the name and the 'We remember you' service, never as replacing Mike or the office. Do not lead with the word 'AI'; lead with the 2 a.m. burst pipe.</t>
        </is>
      </c>
      <c r="R22" s="8" t="inlineStr">
        <is>
          <t>'I answer my own phone — my customers want to hear from me.' (True per his reviews.) Reply: it only catches the calls that already go to voicemail — while he's under a sink, after 7pm, Sundays — and hands him the booked job by text; a human still answers whenever one can. Second objection: 'It won't sound like us / will embarrass me with a customer.' Reply: it's trained on their own site and family story; call the demo number and judge it before anything else happens. Third: 'We're busy enough.' Reply: then it's about not losing the repipe or water-heater call to the next name on Google, and about his crew's weekends.</t>
        </is>
      </c>
      <c r="S22" s="8" t="inlineStr">
        <is>
          <t>Expertise.com's 2026 'Best Plumbers in Sacramento, CA' list (last updated Oct 12, 2026) names Sacramento Plumbing Solutions — a fresh, safe, verifiable compliment (https://www.expertise.com/ca/sacramento/plumbing). Pair it with the neutral observation: the site says 'Available 24/7 for Emergencies' while the Contact page's phone hours are Mon–Sat 7am–7pm, Sunday closed, and the reviews say Mike is the one answering.</t>
        </is>
      </c>
      <c r="T22" s="8" t="inlineStr">
        <is>
          <t>Gap documented on the business's own site: header/footer hours 'Mon–Fri 8am–5pm', 'Saturday: Closed', 'Sunday: Closed'; Contact page 'Phone Hours' Mon–Sat 7am–7pm, Sunday closed; versus homepage 'Available 24/7 for Emergencies', 'Your Emergency is Our Emergency. Call us NOW!' and emergency page 'We Offer 24/7 Emergency Plumbing Service' / 'we are available for a 24 hour service call 6 days a week Monday through Saturday'. No answering service, call center or AI receptionist mentioned anywhere on site or in page source. Reviews indicate the owner personally answers/returns calls ('Mike answered my call early in the morning'; 'fix my leak after hours'). No separate after-hours number published. GBP hours: not retrieved.</t>
        </is>
      </c>
      <c r="U22" s="9" t="inlineStr"/>
      <c r="V22" s="10" t="inlineStr"/>
      <c r="W22" s="9" t="inlineStr"/>
      <c r="X22" s="10" t="inlineStr"/>
      <c r="Y22" s="9" t="inlineStr"/>
      <c r="Z22" s="10" t="inlineStr"/>
      <c r="AA22" s="11">
        <f>IF(A22="","",IF(OR(V22="Game Plan Call booked",V22="Do not call",V22="Not interested",V22="Email captured (GEO audit)",X22="Game Plan Call booked",X22="Do not call",X22="Not interested",X22="Email captured (GEO audit)",Y22&lt;&gt;""),"Done",IF(W22&lt;&gt;"",W22+3,IF(U22&lt;&gt;"",U22+2,"Call today"))))</f>
        <v/>
      </c>
      <c r="AB22" s="10" t="inlineStr"/>
      <c r="AC22" s="9" t="inlineStr"/>
      <c r="AD22" s="10" t="inlineStr"/>
      <c r="AE22" s="8" t="inlineStr">
        <is>
          <t>https://www.sacramentoplumbingsolutions.com</t>
        </is>
      </c>
      <c r="AF22" s="8" t="inlineStr">
        <is>
          <t>Not found</t>
        </is>
      </c>
    </row>
    <row r="23" ht="110" customHeight="1">
      <c r="A23" s="8" t="inlineStr">
        <is>
          <t>20261013-22</t>
        </is>
      </c>
      <c r="B23" s="8" t="inlineStr">
        <is>
          <t>Cedar Hills Dental Care, P.C.</t>
        </is>
      </c>
      <c r="C23" s="8" t="inlineStr">
        <is>
          <t>Christine Chin</t>
        </is>
      </c>
      <c r="D23" s="8" t="inlineStr">
        <is>
          <t>DMD</t>
        </is>
      </c>
      <c r="E23" s="8" t="inlineStr">
        <is>
          <t>+1 503-643-7502</t>
        </is>
      </c>
      <c r="F23" s="8" t="inlineStr">
        <is>
          <t>+1 503-643-7502</t>
        </is>
      </c>
      <c r="G23" s="8" t="inlineStr">
        <is>
          <t>Portland (Cedar Hills, on the Beaverton border)</t>
        </is>
      </c>
      <c r="H23" s="8" t="inlineStr">
        <is>
          <t>OR</t>
        </is>
      </c>
      <c r="I23" s="8" t="inlineStr">
        <is>
          <t>America/Los_Angeles (Pacific Time)</t>
        </is>
      </c>
      <c r="J23" s="8" t="inlineStr">
        <is>
          <t>Tue–Thu 10:00–11:30 AM PT (dental window per playbook; office open 7:30–5, so the front desk is staffed and past the morning check-in rush; Dr. Chin is chairside so ask for the office manager and a callback window). Backup: Wed 4:30–5:30 PM PT, the only late evening (open to 6pm). Avoid Mon/Fri after 2:30 PM (closes at 3).</t>
        </is>
      </c>
      <c r="K23" s="8" t="inlineStr">
        <is>
          <t>Mon 7:30am–3pm; Tue 7:30am–5pm; Wed 7:30am–6pm; Thu 7:30am–5pm; Fri 7:30am–3pm; Sat–Sun closed; "BY APPOINTMENT" (site contact page: https://cedarhillsdentalcare.com/contact-us-cedar-hills-dental-care/; GBP hours not reachable this run)</t>
        </is>
      </c>
      <c r="L23" s="8" t="inlineStr">
        <is>
          <t>The main line +1 503-643-7502 is the front desk ("Call Us: And We Will Set Up Your Appointment"); no office manager, scheduler, or staff member is named anywhere public (site About/Team, BBB "Customer Contacts: none", Healthgrades). Dr. Christine Chin is the sole dentist and is chairside all day — do not expect her on the line. Ask for "the office manager" by role, use "Dr. Chin" (not "Dr. Christine" — that is how patients address her in testimonials, keep it formal), and offer the forwardable version: demo number + 20-minute Game Plan Call link. No answering service detected; after 3pm Mon/Fri the line is likely voicemail (not test-called). No owner cell published. BBB fax +1 503-641-4771 (not a contact channel for outreach).</t>
        </is>
      </c>
      <c r="M23" s="8" t="n">
        <v>52</v>
      </c>
      <c r="N23" s="8" t="inlineStr">
        <is>
          <t>Family-Legacy Pride Brand (medium confidence); secondary: possible Growth-Minded given the Sept 2026 content push</t>
        </is>
      </c>
      <c r="O23" s="8" t="inlineStr">
        <is>
          <t>Free GEO audit (per Chosen's dental matrix) — then the AI voice receptionist for the after-3pm / weekend / emergency calls as the first machine, with recall-list reactivation as the Accelerate add-on. Door-opener: run the full "Named in X of 28" audit first; build the voice demo from the site (phone-first, D2 = 15, site scrapable) once a reply or Sam connect happens.</t>
        </is>
      </c>
      <c r="P23" s="8" t="inlineStr">
        <is>
          <t>"Hi, this is Sam with Eat 4 Life Marketing — this is a cold call, so feel free to hang up on me. I was on Cedar Hills Dental Care's site: you've been in Cedar Hills since 1986, every appointment gets booked by phone, and the office closes at 3 on Mondays and Fridays. We put an AI receptionist on the line that only catches the calls that already go to voicemail after hours, qualifies the caller, and books them — and we build a demo trained on your own site that you or Dr. Chin can call before anyone pays a dollar. Can I take 20 seconds to tell you how it works, and if it's not a fit you tell me and I'm gone?"</t>
        </is>
      </c>
      <c r="Q23" s="8" t="inlineStr">
        <is>
          <t>Missed-call / after-hours coverage first (phone-only booking, same-day emergency promise, 3pm Mon/Fri close, no weekend line, no answering service), then the GEO angle as the second beat: they just published two dozen "near Beaverton" / "when to call a dentist" articles, which is exactly the content AI assistants pull from, but nothing on the site is structured for it. Proof lever: a demo line trained on cedarhillsdentalcare.com she or the front desk can call before paying anything.</t>
        </is>
      </c>
      <c r="R23" s="8" t="inlineStr">
        <is>
          <t>"Dr. Chin is with patients — send it to info@ and the office manager will look" (expect the front desk to gatekeep; have the one-line forwardable version ready). Also: "We've been here since 1986 on word of mouth, our patients want a real person" — answer: the office still answers every call it can; this only catches the ones that already go to voicemail after 3 and on weekends, and books them.</t>
        </is>
      </c>
      <c r="S23" s="8" t="inlineStr">
        <is>
          <t>The Sept 9–11, 2026 content push: 24+ parent-facing Q&amp;A articles ("What Is Considered a Dental Emergency? When to Call a Dentist", "Family Dentist Near Beaverton", "How Do I Find an Experienced Dentist for My Child Near Beaverton?") — https://cedarhillsdentalcare.com/articles/ and https://cedarhillsdentalcare.com/articles/page/2/. Someone at the practice is actively investing in being found for exactly the questions people now ask ChatGPT/Gemini, yet the site carries no FAQPage schema. Pair with the 40-year milestone ("since 1986").</t>
        </is>
      </c>
      <c r="T23" s="8" t="inlineStr">
        <is>
          <t>No after-hours, answering-service, voicemail, text, or emergency-line statement anywhere on the home, about, contact, membership, or dental-emergency article pages (logged null, checked 2026-10-14). Contact page: "In emergency situations, we can see you the same day, if necessary." Office closes 3pm Mon/Fri, 5pm Tue/Thu, 6pm Wed; closed Sat/Sun. The emergency article repeatedly says "Call Cedar Hills Dental Care and tell us what's happening" / "call (503) 643-7502 and describe what is happening" with no evening/weekend instruction — https://cedarhillsdentalcare.com/what-is-considered-a-dental-emergency-when-to-call-a-dentist/</t>
        </is>
      </c>
      <c r="U23" s="9" t="inlineStr"/>
      <c r="V23" s="10" t="inlineStr"/>
      <c r="W23" s="9" t="inlineStr"/>
      <c r="X23" s="10" t="inlineStr"/>
      <c r="Y23" s="9" t="inlineStr"/>
      <c r="Z23" s="10" t="inlineStr"/>
      <c r="AA23" s="11">
        <f>IF(A23="","",IF(OR(V23="Game Plan Call booked",V23="Do not call",V23="Not interested",V23="Email captured (GEO audit)",X23="Game Plan Call booked",X23="Do not call",X23="Not interested",X23="Email captured (GEO audit)",Y23&lt;&gt;""),"Done",IF(W23&lt;&gt;"",W23+3,IF(U23&lt;&gt;"",U23+2,"Call today"))))</f>
        <v/>
      </c>
      <c r="AB23" s="10" t="inlineStr"/>
      <c r="AC23" s="9" t="inlineStr"/>
      <c r="AD23" s="10" t="inlineStr"/>
      <c r="AE23" s="8" t="inlineStr">
        <is>
          <t>https://cedarhillsdentalcare.com</t>
        </is>
      </c>
      <c r="AF23" s="8" t="inlineStr">
        <is>
          <t>info@cedarhillsdentalcare.com</t>
        </is>
      </c>
    </row>
    <row r="24" ht="110" customHeight="1">
      <c r="A24" s="8" t="inlineStr">
        <is>
          <t>20261013-23</t>
        </is>
      </c>
      <c r="B24" s="8" t="inlineStr">
        <is>
          <t>Rideout Plumbing</t>
        </is>
      </c>
      <c r="C24" s="8" t="inlineStr">
        <is>
          <t>Jason Rideout</t>
        </is>
      </c>
      <c r="D24" s="8" t="inlineStr">
        <is>
          <t>President/General Manager</t>
        </is>
      </c>
      <c r="E24" s="8" t="inlineStr">
        <is>
          <t>+1 704-375-0780</t>
        </is>
      </c>
      <c r="F24" s="8" t="inlineStr">
        <is>
          <t>+1 704-375-0780 (main line; same number on website header, BBB, BuildZoom and the "Send me a text" banner — advertised as textable, so treat as possible cell: manual human dial only, no automated SMS/AI voice)</t>
        </is>
      </c>
      <c r="G24" s="8" t="inlineStr">
        <is>
          <t>Charlotte</t>
        </is>
      </c>
      <c r="H24" s="8" t="inlineStr">
        <is>
          <t>NC</t>
        </is>
      </c>
      <c r="I24" s="8" t="inlineStr">
        <is>
          <t>ET</t>
        </is>
      </c>
      <c r="J24" s="8" t="inlineStr">
        <is>
          <t>Tue-Thu 7:00-8:00 AM ET, right after the 6 AM open and before the first job of the day; backup window 4:30-5:45 PM ET as trucks wrap up before the 6 PM close. Reason: BBB shows 3 employees and no office staff, dispatcher, or answering service is named anywhere, and the site's "Send me a text" line is written in first person, so the main line most likely rings to Jason's own phone; mid-day he is probably under a sink. Avoid Mondays (post-weekend emergency backlog) and avoid calling after 6 PM, since GBP says 24 hours and that call would be the very after-hours call you are pitching about.</t>
        </is>
      </c>
      <c r="K24" s="8" t="inlineStr">
        <is>
          <t>Mon-Sun 6:00 AM-6:00 PM per the About page (rideoutplumbing.com/about-us/), which also says "24-hour service available"; the home page says "We provide 24-hour plumbing services." The Google Business Profile (as mirrored by the serviceagent.ai directory) shows "Open 24 hours" every day. BBB lists no hours.</t>
        </is>
      </c>
      <c r="L24" s="8" t="inlineStr">
        <is>
          <t>No office manager, dispatcher, or answering service is named on the site, BBB, BuildZoom, or the GBP-sourced directory; BBB lists 3 employees. The only published number is the main line 704-375-0780, which the site presents first-person ("Send me a text to (704) 375-0780"), so expect Jason or a tech to pick up directly; treat it as a possible personal cell: manual human dial only, no automated SMS or AI-voice contact. The home page carries an "Ask for Chason" graphic with no stated role, so if a Chason answers, treat him as the likely front line, ask for Jason by name, and log Chason's role. Second decision-maker: Jeff Julian co-built the business and the LLC was formerly Jeff Julian Plumbing, LLC; his current involvement is not stated, so if Jeff answers, pitch him as a decision-maker too. The business is "veteran-led" but no page says who served, so do not attribute it to Jason. If it rolls to voicemail, leave a 15-second message using the 6-to-6 vs 24-hour hook and the demo-line offer, then retry in the next morning window; do not text.</t>
        </is>
      </c>
      <c r="M24" s="8" t="n">
        <v>52</v>
      </c>
      <c r="N24" s="8" t="inlineStr">
        <is>
          <t>Family-Legacy Pride Brand (medium confidence; secondary possible: Overwhelmed Owner-Operator)</t>
        </is>
      </c>
      <c r="O24" s="8" t="inlineStr">
        <is>
          <t>Voice AI live demo built from rideoutplumbing.com, emergency/after-hours angle (burst pipe at 2am); DEMO PATH / call-first since no email exists. Second wedge once in conversation: AI-readable site + GEO (no FAQ/LocalBusiness schema; Julian's/Rideout brand split)</t>
        </is>
      </c>
      <c r="P24" s="8" t="inlineStr">
        <is>
          <t>"Hi, is this Jason? Jason, this is Sam with Eat 4 Life Marketing. Full disclosure, this is a cold call, so feel free to hang up, but give me 20 seconds and you decide. I was on rideoutplumbing.com this morning. Your About page says Rideout carries Charlotte plumbing roots back to 1981, hours are 6 to 6 seven days, and there's 24-hour service on top of that. With a three-man crew, I'm curious who catches the burst-pipe call at 2 AM right now, you, voicemail, or nobody? Reason I ask: we build a demo receptionist trained on your own site that answers those calls, gets the caller's name, address, and what's leaking, and books the visit, and you can call it and hear it before you ever pay a dollar. Would 20 minutes with Sebastian to hear it be worth your time, or is this the wrong week?"</t>
        </is>
      </c>
      <c r="Q24" s="8" t="inlineStr">
        <is>
          <t>"Jason, your site promises 24-hour service and your hours read 6 to 6, so who's catching the calls after six right now, you or voicemail? We built a demo receptionist from rideoutplumbing.com that answers like your front desk, gets the caller's name, address and what's leaking, and books the visit; you can call it and hear it before you spend a dollar. Going live is one call-forwarding rule for missed or busy calls, and it rolls back with one dial code." Ask #1: 20-minute Game Plan Call; Ask #2: an email address for the free AI visibility audit (none is public).</t>
        </is>
      </c>
      <c r="R24" s="8" t="inlineStr">
        <is>
          <t>"We're a family shop; our customers want a real person, and we handle our own phones." Answer: a real person still answers every call you can; the line only catches the ones that already roll to voicemail after six or while you're under a sink, and it's trained on your own 1981 story so callers still hear Rideout, not a robot script.</t>
        </is>
      </c>
      <c r="S24" s="8" t="inlineStr"/>
      <c r="T24" s="8" t="inlineStr">
        <is>
          <t>Unknown who answers after hours. Site: "24-hour service available" and "Emergency Service – We provide 24-hour plumbing services for your convenience" alongside About-page hours "Monday – Sunday: 6:00AM – 6:00PM" (https://rideoutplumbing.com/about-us/, https://rideoutplumbing.com/). GBP hours per serviceagent.ai directory: "Open 24 hours" every day. No answering service, call center, or AI receptionist mentioned anywhere on the site or in page source. BBB: 3 employees. Contact form (Ninja Forms) shows no response-time promise</t>
        </is>
      </c>
      <c r="U24" s="9" t="inlineStr"/>
      <c r="V24" s="10" t="inlineStr"/>
      <c r="W24" s="9" t="inlineStr"/>
      <c r="X24" s="10" t="inlineStr"/>
      <c r="Y24" s="9" t="inlineStr"/>
      <c r="Z24" s="10" t="inlineStr"/>
      <c r="AA24" s="11">
        <f>IF(A24="","",IF(OR(V24="Game Plan Call booked",V24="Do not call",V24="Not interested",V24="Email captured (GEO audit)",X24="Game Plan Call booked",X24="Do not call",X24="Not interested",X24="Email captured (GEO audit)",Y24&lt;&gt;""),"Done",IF(W24&lt;&gt;"",W24+3,IF(U24&lt;&gt;"",U24+2,"Call today"))))</f>
        <v/>
      </c>
      <c r="AB24" s="10" t="inlineStr"/>
      <c r="AC24" s="9" t="inlineStr"/>
      <c r="AD24" s="10" t="inlineStr"/>
      <c r="AE24" s="8" t="inlineStr">
        <is>
          <t>https://rideoutplumbing.com/</t>
        </is>
      </c>
      <c r="AF24" s="8" t="inlineStr">
        <is>
          <t>Not found</t>
        </is>
      </c>
    </row>
    <row r="25" ht="110" customHeight="1">
      <c r="A25" s="8" t="inlineStr">
        <is>
          <t>20261013-24</t>
        </is>
      </c>
      <c r="B25" s="8" t="inlineStr">
        <is>
          <t>Collins Roofing LLC</t>
        </is>
      </c>
      <c r="C25" s="8" t="inlineStr">
        <is>
          <t>Aaron Collins</t>
        </is>
      </c>
      <c r="D25" s="8" t="inlineStr">
        <is>
          <t>Owner</t>
        </is>
      </c>
      <c r="E25" s="8" t="inlineStr">
        <is>
          <t>+1 816-252-3088</t>
        </is>
      </c>
      <c r="F25" s="8" t="inlineStr">
        <is>
          <t>+1 816-252-3088</t>
        </is>
      </c>
      <c r="G25" s="8" t="inlineStr">
        <is>
          <t>Blue Springs</t>
        </is>
      </c>
      <c r="H25" s="8" t="inlineStr">
        <is>
          <t>MO</t>
        </is>
      </c>
      <c r="I25" s="8" t="inlineStr">
        <is>
          <t>America/Chicago (Central Time)</t>
        </is>
      </c>
      <c r="J25" s="8" t="inlineStr">
        <is>
          <t>Tue-Thu 8:30-9:15 AM CT, right at office open, before estimates start (site testimonials show Aaron personally runs estimates and insurance-adjuster meetings, so he is likely out mid-day); fallback 4:30-5:25 PM CT before the 5:30 close. Avoid Mondays after a storm weekend.</t>
        </is>
      </c>
      <c r="K25" s="8" t="inlineStr">
        <is>
          <t>Site contact page: "Office Hours Mon - Fri: 8:30AM - 5:30PM" (https://collinsroofingkc.com/contact/). GBP hours not retrievable this run.</t>
        </is>
      </c>
      <c r="L25" s="8" t="inlineStr">
        <is>
          <t>Single office line (816) 252-3088 on site, BBB, and privacy policy; no owner cell published; no answering service or IVR mentioned anywhere. Office hours Mon-Fri 8:30-5:30 CT. Staff named by customers on the home page: Ashley (answers customer questions, 2 mentions - most likely the office voice), Phillip (estimates), Will, foreman Gabriel, and founder Jack. If Ashley or Phillip answers: "Hi, is Aaron in this morning or already out on estimates? When does he usually swing back through the office?" Use the first name and the Blue Springs office move as a natural reason for the call if asked.</t>
        </is>
      </c>
      <c r="M25" s="8" t="n">
        <v>52</v>
      </c>
      <c r="N25" s="8" t="inlineStr">
        <is>
          <t>Family-Legacy Pride Brand (primary, medium confidence); secondary: Growth-Minded Operator (self-described modernization)</t>
        </is>
      </c>
      <c r="O25" s="8" t="inlineStr">
        <is>
          <t>Voice AI live demo line built from collinsroofingkc.com (DEMO PATH: named owner, phone-first, no published email) with missed-call text-back for after-hours and storm overflow; position as after-hours/overflow only, never as replacing the office. Second ask: free AI Search Visibility audit (run the D4 check first so the "Named in X of Y" line is real).</t>
        </is>
      </c>
      <c r="P25" s="8" t="inlineStr">
        <is>
          <t>"Hi Aaron, it's Sam with Eat 4 Life Marketing - this is a cold call, so I'll be quick. I was on collinsroofingkc.com this morning; your About page says your dad Jack used to get up in the middle of the night to patch a customer's roof, and your office line runs 8:30 to 5:30. When a homeowner calls after a storm at 7 PM and it rings out, they dial the next roofer on Google. We built a demo line trained on Collins Roofing's own website that answers those calls and books the estimate - you can call it before anyone pays a dollar. Can I take 20 seconds to tell you how it works, or is there a better time to catch you?"</t>
        </is>
      </c>
      <c r="Q25" s="8" t="inlineStr">
        <is>
          <t>Legacy protection plus the missed-call math. 47 years and a second generation at the helm; the office line runs Mon-Fri 8:30-5:30; roofing calls come after storms, evenings, and weekends, and the homeowner who hits voicemail dials the next roofer on Google. The AI answers only the calls that already ring out or come in after hours, trained on Collins Roofing's own site and story, qualifies the caller (name, address, leak or storm, insurance claim yes/no), books the free estimate, and texts back every missed call in under a minute. Nothing changes for Ashley or the office during the day. Proof lever: a demo number built from their site they can call before paying anything. Mirror their own phrase "old-school grit with modern tools"; never imply their way is outdated.</t>
        </is>
      </c>
      <c r="R25" s="8" t="inlineStr">
        <is>
          <t>"We answer our phones - the office handles it" or "We're busy enough off referrals and insurance work" or "We get marketing calls every week." Answer: this only covers what already goes to voicemail after 5:30 and during storm surges; it books straight onto your calendar and texts the caller back so they don't call the next guy; hear it on the demo line first, nothing to buy to hear it, no long contract.</t>
        </is>
      </c>
      <c r="S25" s="8" t="inlineStr">
        <is>
          <t>The About page founder story: Jack getting up in the middle of the night to patch a customer's roof, paired with the fact the office line today runs Mon-Fri 8:30-5:30 with no after-hours path stated. Source: https://collinsroofingkc.com/about/ and https://collinsroofingkc.com/contact/. Secondary: "47 years" (1979-2026) and the apparent new Blue Springs office (contact page updated 2026-07-10).</t>
        </is>
      </c>
      <c r="T25" s="8" t="inlineStr">
        <is>
          <t>Not stated anywhere. Grep of all 13 site pages found no "24/7", "after hours", "emergency service", answering service, or AI-receptionist mention; the only "emergency" hit is generic copy about avoiding "emergency roof repair" on the maintenance page. Office hours Mon-Fri 8:30-5:30 (contact page). What happens to a 7 PM or Saturday storm call is unknown - the gap to ask about.</t>
        </is>
      </c>
      <c r="U25" s="9" t="inlineStr"/>
      <c r="V25" s="10" t="inlineStr"/>
      <c r="W25" s="9" t="inlineStr"/>
      <c r="X25" s="10" t="inlineStr"/>
      <c r="Y25" s="9" t="inlineStr"/>
      <c r="Z25" s="10" t="inlineStr"/>
      <c r="AA25" s="11">
        <f>IF(A25="","",IF(OR(V25="Game Plan Call booked",V25="Do not call",V25="Not interested",V25="Email captured (GEO audit)",X25="Game Plan Call booked",X25="Do not call",X25="Not interested",X25="Email captured (GEO audit)",Y25&lt;&gt;""),"Done",IF(W25&lt;&gt;"",W25+3,IF(U25&lt;&gt;"",U25+2,"Call today"))))</f>
        <v/>
      </c>
      <c r="AB25" s="10" t="inlineStr"/>
      <c r="AC25" s="9" t="inlineStr"/>
      <c r="AD25" s="10" t="inlineStr"/>
      <c r="AE25" s="8" t="inlineStr">
        <is>
          <t>https://collinsroofingkc.com</t>
        </is>
      </c>
      <c r="AF25" s="8" t="inlineStr">
        <is>
          <t>Not found</t>
        </is>
      </c>
    </row>
    <row r="26" ht="110" customHeight="1">
      <c r="A26" s="8" t="inlineStr">
        <is>
          <t>20261013-25</t>
        </is>
      </c>
      <c r="B26" s="8" t="inlineStr">
        <is>
          <t>Evans Roofing, LLC</t>
        </is>
      </c>
      <c r="C26" s="8" t="inlineStr">
        <is>
          <t>Marcus Evans</t>
        </is>
      </c>
      <c r="D26" s="8" t="inlineStr">
        <is>
          <t>Owner / founder</t>
        </is>
      </c>
      <c r="E26" s="8" t="inlineStr">
        <is>
          <t>+1 405-740-0697</t>
        </is>
      </c>
      <c r="F26" s="8" t="inlineStr">
        <is>
          <t>+1 405-740-0697</t>
        </is>
      </c>
      <c r="G26" s="8" t="inlineStr">
        <is>
          <t>Oklahoma City</t>
        </is>
      </c>
      <c r="H26" s="8" t="inlineStr">
        <is>
          <t>OK</t>
        </is>
      </c>
      <c r="I26" s="8" t="inlineStr">
        <is>
          <t>America/Chicago (Central Time)</t>
        </is>
      </c>
      <c r="J26" s="8" t="inlineStr">
        <is>
          <t>Tue-Thu 7:00-8:15 AM CT, before the crew rolls - his site says he "signs every contract and works with his crews onsite" and runs "one job at a time", so mid-day he is on a roof; backup window 4:30-5:30 PM CT when the crew wraps. Skip the day after heavy rain in OKC (his own blog says leak calls flood in after every heavy rainfall). Hours not published anywhere, so Sam logs the hours and who answered on dial one.</t>
        </is>
      </c>
      <c r="K26" s="8" t="inlineStr">
        <is>
          <t>Not found - no hours on the website, BBB, or Yellow Pages ("Do you know the hours for this business?"); Google Business Profile not fetchable this run. Sam: capture hours and who answers on the first dial.</t>
        </is>
      </c>
      <c r="L26" s="8" t="inlineStr">
        <is>
          <t>No office staff, dispatcher, or office manager named anywhere: no team page, no careers page, BBB lists only "Marcus Evans, Owner" and no customer contacts, no job posts found. The only published number is the main line 405-740-0697, so expect Marcus himself, a crew member, or voicemail. If someone else answers: "Is Marcus around this afternoon? It's about the office line." If voicemail: leave a 10-second message with the demo-line offer and follow with the email to marcus@evansroofingokc.com (confirmed). No answering service or IVR detected on the site; Sam records human/voicemail/IVR/AI on the first call to update D2. Central Time; stay inside 8am-9pm local and check Oklahoma telemarketing rules before the first OK dial.</t>
        </is>
      </c>
      <c r="M26" s="8" t="n">
        <v>52</v>
      </c>
      <c r="N26" s="8" t="inlineStr">
        <is>
          <t>Skeptical Old-School Traditionalist (primary, medium confidence); secondary: Overwhelmed Owner-Operator / Family-Legacy Pride. Not anti-tech or hostile - a thoughtful, proof-driven owner; treat as call-first, no "AI" in the subject line.</t>
        </is>
      </c>
      <c r="O26" s="8" t="inlineStr">
        <is>
          <t>Voice AI live demo line built from evansroofingokc.com (demo_build = yes: D2 = 15, phone-first, scrapable WordPress site with About/FAQ/services copy) + missed-call text-back. Frame as overflow/relief, not lead-gen or replacement ("you still pick up every call you can; this catches the ones that already go to voicemail while you're on a roof"). GEO audit as a second touch only after D4 is actually run (site already has FAQ schema, so lead with the phone, not the audit).</t>
        </is>
      </c>
      <c r="P26" s="8" t="inlineStr">
        <is>
          <t>"Marcus? Sam with Eat 4 Life Marketing - this is a cold call, so feel free to hang up on me. I was on your site: it says you sign every contract and work onsite with your crews, so I'll ask the obvious - who picks up the office line while you're on a roof? We built a demo receptionist from evansroofingokc.com that answers those calls, gets the address and what's leaking, books the estimate, and texts back anything it misses in under a minute. Can I take 20 seconds to tell you how to call it and hear it yourself?"</t>
        </is>
      </c>
      <c r="Q26" s="8" t="inlineStr">
        <is>
          <t>Missed-call relief, in his words, with the demo as proof. He has "never employed salespeople" and relies on word-of-mouth, so position this as the opposite of a salesperson: a receptionist that only catches the referral calls that already go to voicemail while he and the crew are on a job, gets the address and what's leaking, books the estimate, and texts back every missed call in under a minute. Do not lead with "AI"; let him call the demo line and hear his own business answered. Secondary hook for the call only: his own blog line that the phone floods with leak calls after every heavy rain.</t>
        </is>
      </c>
      <c r="R26" s="8" t="inlineStr">
        <is>
          <t>"We've never advertised - word of mouth keeps us busy, and we only take one job at a time." Answer: this isn't advertising or more leads; it's catching the word-of-mouth callers who already dial you and hit voicemail while you're on a roof - one-job-at-a-time makes each missed estimate call cost more, not less. Second objection: "I don't want a robot talking to my customers" - you still answer every call you can; this only covers the ones that already go to voicemail, and you can hear it first on the demo line before anything is set up (go-live is one call-forwarding rule, rollback is one dial code).</t>
        </is>
      </c>
      <c r="S26" s="8" t="inlineStr">
        <is>
          <t>No dated win in the last 90 days found. Best safe opener = years-in-business + his own words: 28 years (1998) and "Marcus Evans signs every contract and works with his crews onsite" (https://evansroofingokc.com/about-us/why-us/) - i.e. the owner is on the roof when the office line rings. Secondary: his own blog line "After every heavy rainfall, flat roofers are sure to get many phone calls from building owners reporting 'roof leaks'" (Nov 2020, https://evansroofingokc.com/2020/11/how-common-are-building-leaks-mistaken-for-roof-leaks/ - older than 12 months, use only on the call, not as the email opener).</t>
        </is>
      </c>
      <c r="T26" s="8" t="inlineStr">
        <is>
          <t>Unknown/none stated - no 24/7, emergency, after-hours, or answering-service language on any of 11 fetched pages or in page source (no answering-service or AI-voice vendor scripts); hours not published on site/BBB/YP; GBP not captured. Home page makes a reachability promise with no mechanism: "the last thing you need is a roofer that's hard to get in touch with... Our team is here when you need us." Sam should log human/voicemail/IVR on first dial.</t>
        </is>
      </c>
      <c r="U26" s="9" t="inlineStr"/>
      <c r="V26" s="10" t="inlineStr"/>
      <c r="W26" s="9" t="inlineStr"/>
      <c r="X26" s="10" t="inlineStr"/>
      <c r="Y26" s="9" t="inlineStr"/>
      <c r="Z26" s="10" t="inlineStr"/>
      <c r="AA26" s="11">
        <f>IF(A26="","",IF(OR(V26="Game Plan Call booked",V26="Do not call",V26="Not interested",V26="Email captured (GEO audit)",X26="Game Plan Call booked",X26="Do not call",X26="Not interested",X26="Email captured (GEO audit)",Y26&lt;&gt;""),"Done",IF(W26&lt;&gt;"",W26+3,IF(U26&lt;&gt;"",U26+2,"Call today"))))</f>
        <v/>
      </c>
      <c r="AB26" s="10" t="inlineStr"/>
      <c r="AC26" s="9" t="inlineStr"/>
      <c r="AD26" s="10" t="inlineStr"/>
      <c r="AE26" s="8" t="inlineStr">
        <is>
          <t>https://evansroofingokc.com</t>
        </is>
      </c>
      <c r="AF26" s="8" t="inlineStr">
        <is>
          <t>marcus@evansroofingokc.com</t>
        </is>
      </c>
    </row>
    <row r="27">
      <c r="A27" s="8" t="inlineStr"/>
      <c r="B27" s="8" t="inlineStr"/>
      <c r="C27" s="8" t="inlineStr"/>
      <c r="D27" s="8" t="inlineStr"/>
      <c r="E27" s="8" t="inlineStr"/>
      <c r="F27" s="8" t="inlineStr"/>
      <c r="G27" s="8" t="inlineStr"/>
      <c r="H27" s="8" t="inlineStr"/>
      <c r="I27" s="8" t="inlineStr"/>
      <c r="J27" s="8" t="inlineStr"/>
      <c r="K27" s="8" t="inlineStr"/>
      <c r="L27" s="8" t="inlineStr"/>
      <c r="M27" s="8" t="inlineStr"/>
      <c r="N27" s="8" t="inlineStr"/>
      <c r="O27" s="8" t="inlineStr"/>
      <c r="P27" s="8" t="inlineStr"/>
      <c r="Q27" s="8" t="inlineStr"/>
      <c r="R27" s="8" t="inlineStr"/>
      <c r="S27" s="8" t="inlineStr"/>
      <c r="T27" s="8" t="inlineStr"/>
      <c r="U27" s="9" t="inlineStr"/>
      <c r="V27" s="10" t="inlineStr"/>
      <c r="W27" s="9" t="inlineStr"/>
      <c r="X27" s="10" t="inlineStr"/>
      <c r="Y27" s="9" t="inlineStr"/>
      <c r="Z27" s="10" t="inlineStr"/>
      <c r="AA27" s="11">
        <f>IF(A27="","",IF(OR(V27="Game Plan Call booked",V27="Do not call",V27="Not interested",V27="Email captured (GEO audit)",X27="Game Plan Call booked",X27="Do not call",X27="Not interested",X27="Email captured (GEO audit)",Y27&lt;&gt;""),"Done",IF(W27&lt;&gt;"",W27+3,IF(U27&lt;&gt;"",U27+2,"Call today"))))</f>
        <v/>
      </c>
      <c r="AB27" s="10" t="inlineStr"/>
      <c r="AC27" s="9" t="inlineStr"/>
      <c r="AD27" s="10" t="inlineStr"/>
      <c r="AE27" s="8" t="inlineStr"/>
      <c r="AF27" s="8" t="inlineStr"/>
    </row>
    <row r="28">
      <c r="A28" s="8" t="inlineStr"/>
      <c r="B28" s="8" t="inlineStr"/>
      <c r="C28" s="8" t="inlineStr"/>
      <c r="D28" s="8" t="inlineStr"/>
      <c r="E28" s="8" t="inlineStr"/>
      <c r="F28" s="8" t="inlineStr"/>
      <c r="G28" s="8" t="inlineStr"/>
      <c r="H28" s="8" t="inlineStr"/>
      <c r="I28" s="8" t="inlineStr"/>
      <c r="J28" s="8" t="inlineStr"/>
      <c r="K28" s="8" t="inlineStr"/>
      <c r="L28" s="8" t="inlineStr"/>
      <c r="M28" s="8" t="inlineStr"/>
      <c r="N28" s="8" t="inlineStr"/>
      <c r="O28" s="8" t="inlineStr"/>
      <c r="P28" s="8" t="inlineStr"/>
      <c r="Q28" s="8" t="inlineStr"/>
      <c r="R28" s="8" t="inlineStr"/>
      <c r="S28" s="8" t="inlineStr"/>
      <c r="T28" s="8" t="inlineStr"/>
      <c r="U28" s="9" t="inlineStr"/>
      <c r="V28" s="10" t="inlineStr"/>
      <c r="W28" s="9" t="inlineStr"/>
      <c r="X28" s="10" t="inlineStr"/>
      <c r="Y28" s="9" t="inlineStr"/>
      <c r="Z28" s="10" t="inlineStr"/>
      <c r="AA28" s="11">
        <f>IF(A28="","",IF(OR(V28="Game Plan Call booked",V28="Do not call",V28="Not interested",V28="Email captured (GEO audit)",X28="Game Plan Call booked",X28="Do not call",X28="Not interested",X28="Email captured (GEO audit)",Y28&lt;&gt;""),"Done",IF(W28&lt;&gt;"",W28+3,IF(U28&lt;&gt;"",U28+2,"Call today"))))</f>
        <v/>
      </c>
      <c r="AB28" s="10" t="inlineStr"/>
      <c r="AC28" s="9" t="inlineStr"/>
      <c r="AD28" s="10" t="inlineStr"/>
      <c r="AE28" s="8" t="inlineStr"/>
      <c r="AF28" s="8" t="inlineStr"/>
    </row>
    <row r="29">
      <c r="A29" s="8" t="inlineStr"/>
      <c r="B29" s="8" t="inlineStr"/>
      <c r="C29" s="8" t="inlineStr"/>
      <c r="D29" s="8" t="inlineStr"/>
      <c r="E29" s="8" t="inlineStr"/>
      <c r="F29" s="8" t="inlineStr"/>
      <c r="G29" s="8" t="inlineStr"/>
      <c r="H29" s="8" t="inlineStr"/>
      <c r="I29" s="8" t="inlineStr"/>
      <c r="J29" s="8" t="inlineStr"/>
      <c r="K29" s="8" t="inlineStr"/>
      <c r="L29" s="8" t="inlineStr"/>
      <c r="M29" s="8" t="inlineStr"/>
      <c r="N29" s="8" t="inlineStr"/>
      <c r="O29" s="8" t="inlineStr"/>
      <c r="P29" s="8" t="inlineStr"/>
      <c r="Q29" s="8" t="inlineStr"/>
      <c r="R29" s="8" t="inlineStr"/>
      <c r="S29" s="8" t="inlineStr"/>
      <c r="T29" s="8" t="inlineStr"/>
      <c r="U29" s="9" t="inlineStr"/>
      <c r="V29" s="10" t="inlineStr"/>
      <c r="W29" s="9" t="inlineStr"/>
      <c r="X29" s="10" t="inlineStr"/>
      <c r="Y29" s="9" t="inlineStr"/>
      <c r="Z29" s="10" t="inlineStr"/>
      <c r="AA29" s="11">
        <f>IF(A29="","",IF(OR(V29="Game Plan Call booked",V29="Do not call",V29="Not interested",V29="Email captured (GEO audit)",X29="Game Plan Call booked",X29="Do not call",X29="Not interested",X29="Email captured (GEO audit)",Y29&lt;&gt;""),"Done",IF(W29&lt;&gt;"",W29+3,IF(U29&lt;&gt;"",U29+2,"Call today"))))</f>
        <v/>
      </c>
      <c r="AB29" s="10" t="inlineStr"/>
      <c r="AC29" s="9" t="inlineStr"/>
      <c r="AD29" s="10" t="inlineStr"/>
      <c r="AE29" s="8" t="inlineStr"/>
      <c r="AF29" s="8" t="inlineStr"/>
    </row>
    <row r="30">
      <c r="A30" s="8" t="inlineStr"/>
      <c r="B30" s="8" t="inlineStr"/>
      <c r="C30" s="8" t="inlineStr"/>
      <c r="D30" s="8" t="inlineStr"/>
      <c r="E30" s="8" t="inlineStr"/>
      <c r="F30" s="8" t="inlineStr"/>
      <c r="G30" s="8" t="inlineStr"/>
      <c r="H30" s="8" t="inlineStr"/>
      <c r="I30" s="8" t="inlineStr"/>
      <c r="J30" s="8" t="inlineStr"/>
      <c r="K30" s="8" t="inlineStr"/>
      <c r="L30" s="8" t="inlineStr"/>
      <c r="M30" s="8" t="inlineStr"/>
      <c r="N30" s="8" t="inlineStr"/>
      <c r="O30" s="8" t="inlineStr"/>
      <c r="P30" s="8" t="inlineStr"/>
      <c r="Q30" s="8" t="inlineStr"/>
      <c r="R30" s="8" t="inlineStr"/>
      <c r="S30" s="8" t="inlineStr"/>
      <c r="T30" s="8" t="inlineStr"/>
      <c r="U30" s="9" t="inlineStr"/>
      <c r="V30" s="10" t="inlineStr"/>
      <c r="W30" s="9" t="inlineStr"/>
      <c r="X30" s="10" t="inlineStr"/>
      <c r="Y30" s="9" t="inlineStr"/>
      <c r="Z30" s="10" t="inlineStr"/>
      <c r="AA30" s="11">
        <f>IF(A30="","",IF(OR(V30="Game Plan Call booked",V30="Do not call",V30="Not interested",V30="Email captured (GEO audit)",X30="Game Plan Call booked",X30="Do not call",X30="Not interested",X30="Email captured (GEO audit)",Y30&lt;&gt;""),"Done",IF(W30&lt;&gt;"",W30+3,IF(U30&lt;&gt;"",U30+2,"Call today"))))</f>
        <v/>
      </c>
      <c r="AB30" s="10" t="inlineStr"/>
      <c r="AC30" s="9" t="inlineStr"/>
      <c r="AD30" s="10" t="inlineStr"/>
      <c r="AE30" s="8" t="inlineStr"/>
      <c r="AF30" s="8" t="inlineStr"/>
    </row>
    <row r="31">
      <c r="A31" s="8" t="inlineStr"/>
      <c r="B31" s="8" t="inlineStr"/>
      <c r="C31" s="8" t="inlineStr"/>
      <c r="D31" s="8" t="inlineStr"/>
      <c r="E31" s="8" t="inlineStr"/>
      <c r="F31" s="8" t="inlineStr"/>
      <c r="G31" s="8" t="inlineStr"/>
      <c r="H31" s="8" t="inlineStr"/>
      <c r="I31" s="8" t="inlineStr"/>
      <c r="J31" s="8" t="inlineStr"/>
      <c r="K31" s="8" t="inlineStr"/>
      <c r="L31" s="8" t="inlineStr"/>
      <c r="M31" s="8" t="inlineStr"/>
      <c r="N31" s="8" t="inlineStr"/>
      <c r="O31" s="8" t="inlineStr"/>
      <c r="P31" s="8" t="inlineStr"/>
      <c r="Q31" s="8" t="inlineStr"/>
      <c r="R31" s="8" t="inlineStr"/>
      <c r="S31" s="8" t="inlineStr"/>
      <c r="T31" s="8" t="inlineStr"/>
      <c r="U31" s="9" t="inlineStr"/>
      <c r="V31" s="10" t="inlineStr"/>
      <c r="W31" s="9" t="inlineStr"/>
      <c r="X31" s="10" t="inlineStr"/>
      <c r="Y31" s="9" t="inlineStr"/>
      <c r="Z31" s="10" t="inlineStr"/>
      <c r="AA31" s="11">
        <f>IF(A31="","",IF(OR(V31="Game Plan Call booked",V31="Do not call",V31="Not interested",V31="Email captured (GEO audit)",X31="Game Plan Call booked",X31="Do not call",X31="Not interested",X31="Email captured (GEO audit)",Y31&lt;&gt;""),"Done",IF(W31&lt;&gt;"",W31+3,IF(U31&lt;&gt;"",U31+2,"Call today"))))</f>
        <v/>
      </c>
      <c r="AB31" s="10" t="inlineStr"/>
      <c r="AC31" s="9" t="inlineStr"/>
      <c r="AD31" s="10" t="inlineStr"/>
      <c r="AE31" s="8" t="inlineStr"/>
      <c r="AF31" s="8" t="inlineStr"/>
    </row>
    <row r="33">
      <c r="A33" s="2" t="inlineStr">
        <is>
          <t>Work top to bottom (sorted by score). Cadence: Call 1 the day the batch lands (use Best Time to Call), Call 2 two days later (leave a voicemail), Call 3 three days after that, then the email bridge. Log every call the same day. Every call ends with ask #1 (Game Plan Call) or ask #2 (email for the free GEO audit) — log 'Email captured' and put the address in Email Captured.</t>
        </is>
      </c>
    </row>
  </sheetData>
  <autoFilter ref="A1:AF31"/>
  <conditionalFormatting sqref="V2:V31">
    <cfRule type="expression" priority="1" dxfId="0">
      <formula>V2="Game Plan Call booked"</formula>
    </cfRule>
    <cfRule type="expression" priority="2" dxfId="1">
      <formula>V2="Email captured (GEO audit)"</formula>
    </cfRule>
    <cfRule type="expression" priority="3" dxfId="2">
      <formula>V2="Not interested"</formula>
    </cfRule>
    <cfRule type="expression" priority="4" dxfId="2">
      <formula>V2="Do not call"</formula>
    </cfRule>
    <cfRule type="expression" priority="5" dxfId="2">
      <formula>V2="Disconnected / wrong number"</formula>
    </cfRule>
  </conditionalFormatting>
  <conditionalFormatting sqref="X2:X31">
    <cfRule type="expression" priority="6" dxfId="0">
      <formula>X2="Game Plan Call booked"</formula>
    </cfRule>
    <cfRule type="expression" priority="7" dxfId="1">
      <formula>X2="Email captured (GEO audit)"</formula>
    </cfRule>
    <cfRule type="expression" priority="8" dxfId="2">
      <formula>X2="Not interested"</formula>
    </cfRule>
    <cfRule type="expression" priority="9" dxfId="2">
      <formula>X2="Do not call"</formula>
    </cfRule>
    <cfRule type="expression" priority="10" dxfId="2">
      <formula>X2="Disconnected / wrong number"</formula>
    </cfRule>
  </conditionalFormatting>
  <conditionalFormatting sqref="Z2:Z31">
    <cfRule type="expression" priority="11" dxfId="0">
      <formula>Z2="Game Plan Call booked"</formula>
    </cfRule>
    <cfRule type="expression" priority="12" dxfId="1">
      <formula>Z2="Email captured (GEO audit)"</formula>
    </cfRule>
    <cfRule type="expression" priority="13" dxfId="2">
      <formula>Z2="Not interested"</formula>
    </cfRule>
    <cfRule type="expression" priority="14" dxfId="2">
      <formula>Z2="Do not call"</formula>
    </cfRule>
    <cfRule type="expression" priority="15" dxfId="2">
      <formula>Z2="Disconnected / wrong number"</formula>
    </cfRule>
  </conditionalFormatting>
  <dataValidations count="3">
    <dataValidation sqref="V2:V31" showDropDown="0" showInputMessage="0" showErrorMessage="0" allowBlank="1" type="list">
      <formula1>"No answer,Voicemail left,Answering machine (no VM),Gatekeeper — owner not available,Call back requested,Not interested,Disconnected / wrong number,Email captured (GEO audit),Game Plan Call booked,Do not call"</formula1>
    </dataValidation>
    <dataValidation sqref="X2:X31" showDropDown="0" showInputMessage="0" showErrorMessage="0" allowBlank="1" type="list">
      <formula1>"No answer,Voicemail left,Answering machine (no VM),Gatekeeper — owner not available,Call back requested,Not interested,Disconnected / wrong number,Email captured (GEO audit),Game Plan Call booked,Do not call"</formula1>
    </dataValidation>
    <dataValidation sqref="Z2:Z31" showDropDown="0" showInputMessage="0" showErrorMessage="0" allowBlank="1" type="list">
      <formula1>"No answer,Voicemail left,Answering machine (no VM),Gatekeeper — owner not available,Call back requested,Not interested,Disconnected / wrong number,Email captured (GEO audit),Game Plan Call booked,Do not call"</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T6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8" customWidth="1" min="3" max="3"/>
    <col width="14" customWidth="1" min="4" max="4"/>
    <col width="14" customWidth="1" min="5" max="5"/>
    <col width="9" customWidth="1" min="6" max="6"/>
    <col width="16" customWidth="1" min="7" max="7"/>
    <col width="28" customWidth="1" min="8" max="8"/>
    <col width="13" customWidth="1" min="9" max="9"/>
    <col width="13" customWidth="1" min="10" max="10"/>
    <col width="16" customWidth="1" min="11" max="11"/>
    <col width="28" customWidth="1" min="12" max="12"/>
    <col width="16" customWidth="1" min="13" max="13"/>
    <col width="14" customWidth="1" min="14" max="14"/>
    <col width="17" customWidth="1" min="15" max="15"/>
    <col width="17" customWidth="1" min="16" max="16"/>
    <col width="16" customWidth="1" min="17" max="17"/>
    <col width="10" customWidth="1" min="18" max="18"/>
    <col width="15" customWidth="1" min="19" max="19"/>
    <col width="7" customWidth="1" min="20" max="20"/>
    <col width="40" customWidth="1" min="21" max="21"/>
    <col width="22" customWidth="1" min="22" max="22"/>
    <col width="22" customWidth="1" min="23" max="23"/>
    <col width="12" customWidth="1" min="24" max="24"/>
    <col width="34" customWidth="1" min="25" max="25"/>
    <col width="50" customWidth="1" min="26" max="26"/>
    <col width="50" customWidth="1" min="27" max="27"/>
    <col width="40" customWidth="1" min="28" max="28"/>
    <col width="55" customWidth="1" min="29" max="29"/>
    <col width="30" customWidth="1" min="30" max="30"/>
    <col width="24" customWidth="1" min="31" max="31"/>
    <col width="10" customWidth="1" min="32" max="32"/>
    <col width="36" customWidth="1" min="33" max="33"/>
    <col width="40" customWidth="1" min="34" max="34"/>
    <col width="50" customWidth="1" min="35" max="35"/>
    <col width="36" customWidth="1" min="36" max="36"/>
    <col width="44" customWidth="1" min="37" max="37"/>
    <col width="44" customWidth="1" min="38" max="38"/>
    <col width="44" customWidth="1" min="39" max="39"/>
    <col width="20" customWidth="1" min="40" max="40"/>
    <col width="30" customWidth="1" min="41" max="41"/>
    <col width="30" customWidth="1" min="42" max="42"/>
    <col width="30" customWidth="1" min="43" max="43"/>
    <col width="26" customWidth="1" min="44" max="44"/>
    <col width="28" customWidth="1" min="45" max="45"/>
    <col width="8" customWidth="1" min="46" max="46"/>
    <col width="26" customWidth="1" min="47" max="47"/>
    <col width="26" customWidth="1" min="48" max="48"/>
    <col width="9" customWidth="1" min="49" max="49"/>
    <col width="9" customWidth="1" min="50" max="50"/>
    <col width="16" customWidth="1" min="51" max="51"/>
    <col width="14" customWidth="1" min="52" max="52"/>
    <col width="9" customWidth="1" min="53" max="53"/>
    <col width="30" customWidth="1" min="54" max="54"/>
    <col width="16" customWidth="1" min="55" max="55"/>
    <col width="16" customWidth="1" min="56" max="56"/>
    <col width="14" customWidth="1" min="57" max="57"/>
    <col width="30" customWidth="1" min="58" max="58"/>
    <col width="30" customWidth="1" min="59" max="59"/>
    <col width="16" customWidth="1" min="60" max="60"/>
    <col width="16" customWidth="1" min="61" max="61"/>
    <col width="30" customWidth="1" min="62" max="62"/>
    <col width="24" customWidth="1" min="63" max="63"/>
    <col width="30" customWidth="1" min="64" max="64"/>
    <col width="30" customWidth="1" min="65" max="65"/>
    <col width="60" customWidth="1" min="66" max="66"/>
    <col width="60" customWidth="1" min="67" max="67"/>
    <col width="12" customWidth="1" min="68" max="68"/>
    <col width="50" customWidth="1" min="69" max="69"/>
    <col width="40" customWidth="1" min="70" max="70"/>
    <col width="22" customWidth="1" min="71" max="71"/>
    <col width="12" customWidth="1" min="72" max="72"/>
  </cols>
  <sheetData>
    <row r="1" ht="32" customHeight="1">
      <c r="A1" s="7" t="inlineStr">
        <is>
          <t>Lead ID</t>
        </is>
      </c>
      <c r="B1" s="7" t="inlineStr">
        <is>
          <t>Date Added</t>
        </is>
      </c>
      <c r="C1" s="7" t="inlineStr">
        <is>
          <t>Batch</t>
        </is>
      </c>
      <c r="D1" s="7" t="inlineStr">
        <is>
          <t>Review Decision</t>
        </is>
      </c>
      <c r="E1" s="7" t="inlineStr">
        <is>
          <t>Status</t>
        </is>
      </c>
      <c r="F1" s="7" t="inlineStr">
        <is>
          <t>Lead Score</t>
        </is>
      </c>
      <c r="G1" s="7" t="inlineStr">
        <is>
          <t>Score Band</t>
        </is>
      </c>
      <c r="H1" s="7" t="inlineStr">
        <is>
          <t>Company Name</t>
        </is>
      </c>
      <c r="I1" s="7" t="inlineStr">
        <is>
          <t>Owner First Name</t>
        </is>
      </c>
      <c r="J1" s="7" t="inlineStr">
        <is>
          <t>Owner Last Name</t>
        </is>
      </c>
      <c r="K1" s="7" t="inlineStr">
        <is>
          <t>Owner Title</t>
        </is>
      </c>
      <c r="L1" s="7" t="inlineStr">
        <is>
          <t>Owner Email</t>
        </is>
      </c>
      <c r="M1" s="7" t="inlineStr">
        <is>
          <t>Owner Email Type</t>
        </is>
      </c>
      <c r="N1" s="7" t="inlineStr">
        <is>
          <t>Owner Email Confidence</t>
        </is>
      </c>
      <c r="O1" s="7" t="inlineStr">
        <is>
          <t>Owner Direct Phone</t>
        </is>
      </c>
      <c r="P1" s="7" t="inlineStr">
        <is>
          <t>Company Phone</t>
        </is>
      </c>
      <c r="Q1" s="7" t="inlineStr">
        <is>
          <t>Niche</t>
        </is>
      </c>
      <c r="R1" s="7" t="inlineStr">
        <is>
          <t>Niche Segment</t>
        </is>
      </c>
      <c r="S1" s="7" t="inlineStr">
        <is>
          <t>City</t>
        </is>
      </c>
      <c r="T1" s="7" t="inlineStr">
        <is>
          <t>State</t>
        </is>
      </c>
      <c r="U1" s="7" t="inlineStr">
        <is>
          <t>Why Now</t>
        </is>
      </c>
      <c r="V1" s="7" t="inlineStr">
        <is>
          <t>Attitude Type</t>
        </is>
      </c>
      <c r="W1" s="7" t="inlineStr">
        <is>
          <t>Recommended Entry Offer</t>
        </is>
      </c>
      <c r="X1" s="7" t="inlineStr">
        <is>
          <t>First-Fit Tier</t>
        </is>
      </c>
      <c r="Y1" s="7" t="inlineStr">
        <is>
          <t>Suggested Subject Line</t>
        </is>
      </c>
      <c r="Z1" s="7" t="inlineStr">
        <is>
          <t>Personalized First Line</t>
        </is>
      </c>
      <c r="AA1" s="7" t="inlineStr">
        <is>
          <t>Call Angle</t>
        </is>
      </c>
      <c r="AB1" s="7" t="inlineStr">
        <is>
          <t>Likely Objection</t>
        </is>
      </c>
      <c r="AC1" s="7" t="inlineStr">
        <is>
          <t>Call Opener (20 sec)</t>
        </is>
      </c>
      <c r="AD1" s="7" t="inlineStr">
        <is>
          <t>Best Time to Call</t>
        </is>
      </c>
      <c r="AE1" s="7" t="inlineStr">
        <is>
          <t>Business Hours</t>
        </is>
      </c>
      <c r="AF1" s="7" t="inlineStr">
        <is>
          <t>Timezone</t>
        </is>
      </c>
      <c r="AG1" s="7" t="inlineStr">
        <is>
          <t>Gatekeeper Notes</t>
        </is>
      </c>
      <c r="AH1" s="7" t="inlineStr">
        <is>
          <t>Best Opening Moment</t>
        </is>
      </c>
      <c r="AI1" s="7" t="inlineStr">
        <is>
          <t>Pain Signals</t>
        </is>
      </c>
      <c r="AJ1" s="7" t="inlineStr">
        <is>
          <t>Trigger Events</t>
        </is>
      </c>
      <c r="AK1" s="7" t="inlineStr">
        <is>
          <t>Attitude Evidence</t>
        </is>
      </c>
      <c r="AL1" s="7" t="inlineStr">
        <is>
          <t>Owner Background</t>
        </is>
      </c>
      <c r="AM1" s="7" t="inlineStr">
        <is>
          <t>Owner Personality / Values Cues</t>
        </is>
      </c>
      <c r="AN1" s="7" t="inlineStr">
        <is>
          <t>Owner Role Type</t>
        </is>
      </c>
      <c r="AO1" s="7" t="inlineStr">
        <is>
          <t>Owner LinkedIn</t>
        </is>
      </c>
      <c r="AP1" s="7" t="inlineStr">
        <is>
          <t>Owner Other Socials</t>
        </is>
      </c>
      <c r="AQ1" s="7" t="inlineStr">
        <is>
          <t>Website</t>
        </is>
      </c>
      <c r="AR1" s="7" t="inlineStr">
        <is>
          <t>Company Email (generic)</t>
        </is>
      </c>
      <c r="AS1" s="7" t="inlineStr">
        <is>
          <t>Street Address</t>
        </is>
      </c>
      <c r="AT1" s="7" t="inlineStr">
        <is>
          <t>ZIP</t>
        </is>
      </c>
      <c r="AU1" s="7" t="inlineStr">
        <is>
          <t>Service Area</t>
        </is>
      </c>
      <c r="AV1" s="7" t="inlineStr">
        <is>
          <t>Google Maps URL</t>
        </is>
      </c>
      <c r="AW1" s="7" t="inlineStr">
        <is>
          <t>Google Rating</t>
        </is>
      </c>
      <c r="AX1" s="7" t="inlineStr">
        <is>
          <t>Review Count</t>
        </is>
      </c>
      <c r="AY1" s="7" t="inlineStr">
        <is>
          <t>Founded / Years in Business</t>
        </is>
      </c>
      <c r="AZ1" s="7" t="inlineStr">
        <is>
          <t>Team Size (est.)</t>
        </is>
      </c>
      <c r="BA1" s="7" t="inlineStr">
        <is>
          <t>Locations</t>
        </is>
      </c>
      <c r="BB1" s="7" t="inlineStr">
        <is>
          <t>Sub-services</t>
        </is>
      </c>
      <c r="BC1" s="7" t="inlineStr">
        <is>
          <t>Tech Adoption</t>
        </is>
      </c>
      <c r="BD1" s="7" t="inlineStr">
        <is>
          <t>Marketing Sophistication</t>
        </is>
      </c>
      <c r="BE1" s="7" t="inlineStr">
        <is>
          <t>Growth Stage</t>
        </is>
      </c>
      <c r="BF1" s="7" t="inlineStr">
        <is>
          <t>Review Response Behavior</t>
        </is>
      </c>
      <c r="BG1" s="7" t="inlineStr">
        <is>
          <t>After-Hours Handling</t>
        </is>
      </c>
      <c r="BH1" s="7" t="inlineStr">
        <is>
          <t>Online Booking</t>
        </is>
      </c>
      <c r="BI1" s="7" t="inlineStr">
        <is>
          <t>Chat / Text on Site</t>
        </is>
      </c>
      <c r="BJ1" s="7" t="inlineStr">
        <is>
          <t>Vendors Detected</t>
        </is>
      </c>
      <c r="BK1" s="7" t="inlineStr">
        <is>
          <t>Ads Running</t>
        </is>
      </c>
      <c r="BL1" s="7" t="inlineStr">
        <is>
          <t>AI Search Presence</t>
        </is>
      </c>
      <c r="BM1" s="7" t="inlineStr">
        <is>
          <t>Disqualifier Check</t>
        </is>
      </c>
      <c r="BN1" s="7" t="inlineStr">
        <is>
          <t>Score Breakdown</t>
        </is>
      </c>
      <c r="BO1" s="7" t="inlineStr">
        <is>
          <t>Evidence Links</t>
        </is>
      </c>
      <c r="BP1" s="7" t="inlineStr">
        <is>
          <t>Research Confidence</t>
        </is>
      </c>
      <c r="BQ1" s="7" t="inlineStr">
        <is>
          <t>Notes for Chosen</t>
        </is>
      </c>
      <c r="BR1" s="7" t="inlineStr">
        <is>
          <t>Reviewer Notes</t>
        </is>
      </c>
      <c r="BS1" s="7" t="inlineStr">
        <is>
          <t>GHL Contact ID</t>
        </is>
      </c>
      <c r="BT1" s="7" t="inlineStr">
        <is>
          <t>Loaded to GHL</t>
        </is>
      </c>
    </row>
    <row r="2" ht="120" customHeight="1">
      <c r="A2" s="8" t="inlineStr">
        <is>
          <t>20261013-01</t>
        </is>
      </c>
      <c r="B2" s="8" t="inlineStr">
        <is>
          <t>2026-10-13</t>
        </is>
      </c>
      <c r="C2" s="8" t="n">
        <v>2</v>
      </c>
      <c r="D2" s="10" t="inlineStr"/>
      <c r="E2" s="10" t="inlineStr">
        <is>
          <t>New</t>
        </is>
      </c>
      <c r="F2" s="8" t="n">
        <v>71</v>
      </c>
      <c r="G2" s="8">
        <f>IF(F2="","",IF(F2&gt;=80,"A — send today",IF(F2&gt;=60,"B — worth a touch",IF(F2&gt;=40,"C — hold","D — reject"))))</f>
        <v/>
      </c>
      <c r="H2" s="8" t="inlineStr">
        <is>
          <t>Ohio Water Heaters Heating, Cooling &amp; Plumbing</t>
        </is>
      </c>
      <c r="I2" s="8" t="inlineStr">
        <is>
          <t>Mike</t>
        </is>
      </c>
      <c r="J2" s="8" t="inlineStr">
        <is>
          <t>Matheny</t>
        </is>
      </c>
      <c r="K2" s="8" t="inlineStr">
        <is>
          <t>Owner</t>
        </is>
      </c>
      <c r="L2" s="8" t="inlineStr">
        <is>
          <t>mike@ohiowaterheaters.com</t>
        </is>
      </c>
      <c r="M2" s="8" t="inlineStr">
        <is>
          <t>Personal (named)</t>
        </is>
      </c>
      <c r="N2" s="8" t="inlineStr">
        <is>
          <t>Confirmed</t>
        </is>
      </c>
      <c r="O2" s="8" t="inlineStr">
        <is>
          <t>Not found (BBB's +1 614-259-8554 is the business listing number, not tied to Mike by name)</t>
        </is>
      </c>
      <c r="P2" s="8" t="inlineStr">
        <is>
          <t>+1 614-756-5919 (site header/hero; CallRail swap.js is loaded so this may be a tracking number) / +1 614-259-8554 (BBB listing)</t>
        </is>
      </c>
      <c r="Q2" s="8" t="inlineStr">
        <is>
          <t>Plumbing (water heater specialist; added heating/AC service lines)</t>
        </is>
      </c>
      <c r="R2" s="8" t="inlineStr">
        <is>
          <t>core</t>
        </is>
      </c>
      <c r="S2" s="8" t="inlineStr">
        <is>
          <t>Reynoldsburg</t>
        </is>
      </c>
      <c r="T2" s="8" t="inlineStr">
        <is>
          <t>OH</t>
        </is>
      </c>
      <c r="U2" s="8" t="inlineStr">
        <is>
          <t>Heating season is opening and they only launched furnace/AC service pages in January 2026, so no-heat emergencies will stack on top of water-heater emergencies for the first time this winter; they are hiring three field techs right now and zero office staff, so after-hours phone coverage is the gap that grows with every truck they add.</t>
        </is>
      </c>
      <c r="V2" s="8" t="inlineStr">
        <is>
          <t>Growth-Minded Operator (medium confidence; secondary: Tech-Forward Early Adopter)</t>
        </is>
      </c>
      <c r="W2" s="8" t="inlineStr">
        <is>
          <t>Voice AI live demo built from ohiowaterheaters.com, emergency/after-hours angle (water heater dies at 2 a.m.; no-heat calls this winter), booking into their existing Housecall Pro; pair with missed-call text-back. GEO audit as the second touch once the spot-check is run.</t>
        </is>
      </c>
      <c r="X2" s="8" t="inlineStr">
        <is>
          <t>Recover</t>
        </is>
      </c>
      <c r="Y2" s="8" t="inlineStr">
        <is>
          <t>Mike — who picks up 614-756-5919 at 2 a.m.?</t>
        </is>
      </c>
      <c r="Z2" s="8" t="inlineStr">
        <is>
          <t>Your site promises plumbers standing by 24 hours a day, and you're hiring three more techs for the new heating side this fall — so I'm curious who answers the "water heater just died" call at 2 a.m. while the crew is out.</t>
        </is>
      </c>
      <c r="AA2" s="8" t="inlineStr">
        <is>
          <t>Overflow and after-hours coverage for a 5-person shop that already pays to generate and track calls (CallRail) and already books in Housecall Pro: an AI receptionist trained on Ohio Water Heaters' own site answers every missed or after-hours call, qualifies the emergency (no hot water, leaking tank, no heat), and books it straight into Housecall Pro; go-live is one conditional call-forwarding rule. Lead with the 2 a.m. scenario and heating season, not with "AI". Proof lever: the demo number he can call before paying anything.</t>
        </is>
      </c>
      <c r="AB2" s="8" t="inlineStr">
        <is>
          <t>"Tammy answers our phones and we already have Housecall Pro" — answer: this only catches what already goes to voicemail (nights, weekends, while Tammy is on another line) and books into the same Housecall Pro calendar; nothing changes for her during the day. Secondary: "We're a 50-year veteran-owned family name; I'm not letting a robot talk to my customers" — answer: it's trained on their story and tone; call the demo line first and judge it yourself.</t>
        </is>
      </c>
      <c r="AC2" s="8" t="inlineStr">
        <is>
          <t>"Hi, is this Mike? Mike, it's Sam with Eat 4 Life Marketing — this is a cold call, so feel free to hang up on me. I was on ohiowaterheaters.com and saw you promise plumbers standing by 24 hours a day, and that you're hiring three more techs for the heating side. Quick question: when a water heater dies at 2 a.m. and everybody's out, who picks that call up — you, Tammy, or voicemail? We built a demo line trained on your own site that answers those calls and books them straight into your Housecall Pro. Can I take 20 seconds to tell you how it works, and you decide if it's worth a look?"</t>
        </is>
      </c>
      <c r="AD2" s="8" t="inlineStr">
        <is>
          <t>Tue–Thu 7:30–8:30 AM ET before trucks dispatch (site testimonials say Tammy in the office handles the first call, so early morning is when Mike is most likely still at the shop); fallback 4:00–5:30 PM ET. Site claims 24/7 but GBP hours unverified; keep calls inside 8 AM–9 PM ET per DNC rules.</t>
        </is>
      </c>
      <c r="AE2" s="8" t="inlineStr">
        <is>
          <t>Site: "Business Hours Mon to Sun 24/7" and "Call Us 24/7 614.756.5919" (https://www.ohiowaterheaters.com/contact-us). Google Business Profile hours could not be verified this session.</t>
        </is>
      </c>
      <c r="AF2" s="8" t="inlineStr">
        <is>
          <t>America/New_York (Eastern)</t>
        </is>
      </c>
      <c r="AG2" s="8" t="inlineStr">
        <is>
          <t>Daytime line is answered by office staff — two site testimonials name "Tammy" ("Smooth going from the first call with Tammy"; "office staff member Tammy was helpful", https://www.ohiowaterheaters.com/reviews/). Ask: "Hi Tammy, is Mike around this morning?" No owner cell published. After-hours answering method unknown (no service named). Main number 614-756-5919 is behind CallRail swap, so the number Sam sees may be a tracking line; BBB lists 614-259-8554 as an alternate. Second brand name "Ohio Plumbing Heating &amp; Cooling" appears on the careers page — don't be thrown if they answer with that name.</t>
        </is>
      </c>
      <c r="AH2" s="8" t="inlineStr">
        <is>
          <t>Live hiring for three field techs plus the brand-new heating/AC service line heading into winter (careers board live 2026-10-14; HVAC pages published 2026-01-06) — "you're adding trucks and a whole heating line; who's covering the phone at 2 a.m. while they're out?"</t>
        </is>
      </c>
      <c r="AI2" s="8" t="inlineStr">
        <is>
          <t>No verbatim missed-call review found (Google reviews/Yelp unreachable this session). Structural signals: (1) "Business Hours: Mon to Sun 24/7" (https://www.ohiowaterheaters.com/contact-us and homepage footer) and "our plumbers are standing by 24 hours a day to deliver fast service" (https://www.ohiowaterheaters.com/about-us) promised by a shop BBB lists at 5 employees, with no answering service or AI receptionist anywhere on the site; (2) hiring three field roles (Service Plumber, HVAC Installer/Technician, Service Technician) and zero office/CSR roles — capacity is going to trucks, not the phone; (3) new HVAC lines mean no-heat calls stacking on water-heater emergencies this winter. Counter-signal: site testimonials praise responsiveness — "Unbelievably responsive the day after Thanksgiving with a house full of family!" (Barry Brownhill, homepage https://www.ohiowaterheaters.com/), "had it fixed within 6 hours of making the service request" on New Year's Eve (Michael Ferraro), "Smooth going from the first call with Tammy" (Betsy Preston) — the latter two at https://www.ohiowaterheaters.com/reviews/.</t>
        </is>
      </c>
      <c r="AJ2" s="8" t="inlineStr">
        <is>
          <t>(a) Hiring now: careers board live 2026-10-14 with 3 open field roles in Reynoldsburg (https://marketing614llc.easyapply.co/, undated); LinkedIn hiring posts ~5 months ago (~May 2026). (b) Service-line expansion into heating/AC: 12 HVAC pages published 2026-01-06 and Amana product pages 2025-10-20 (https://www.ohiowaterheaters.com/page-sitemap.xml). (c) Possible rebrand: careers page header reads "Ohio Plumbing Heating &amp; Cooling" while the site is "Ohio Water Heaters Heating, Cooling &amp; Plumbing". (d) Seasonal: heating season opening now with a brand-new furnace service line.</t>
        </is>
      </c>
      <c r="AK2" s="8" t="inlineStr">
        <is>
          <t>(1) Hiring production roles: LinkedIn company posts ~5 months ago "We're #hiring a new Service Plumber in Ohio" and "We're #hiring a new Plumber in Greater Columbus Area" (https://www.linkedin.com/company/ohiowaterheaters/); careers board live 2026-10-14 with Service Plumber, HVAC Installer/Technician, Service Technician (https://marketing614llc.easyapply.co/). (2) Pays to track and convert calls: CallRail swap.js (company 886824471) + Google Tag Manager in page source; Housecall Pro online booking button; GreenSky financing; SMS-consent form (view-source https://www.ohiowaterheaters.com/). (3) Site actively maintained and expanding: copyright 2026, homepage modified 2025-10-20, 12 new heating/AC service pages published 2026-01-06 (sitemap), Amana product pages Oct 2025. (4) Service-line expansion from water heaters into HVAC; careers page now branded "Ohio Plumbing Heating &amp; Cooling". 4 signals across 2 source categories (website/source, hiring posts). Review-reply behavior could not be observed (GBP unreachable).</t>
        </is>
      </c>
      <c r="AL2" s="8" t="inlineStr">
        <is>
          <t>Published only: site badges "Veteran Owned | Family Owned &amp; Operated | Local Business"; About page says the company "was started by a veteran of the Army and Navy" (the page does not say whether that founder is Mike). Homepage image alt text calls him "Mike the water heater guy". Site says "we've also manufactured and sold them [water heaters] over the years." No interview, podcast or prior-career facts found.</t>
        </is>
      </c>
      <c r="AM2" s="8" t="inlineStr">
        <is>
          <t>Tone: warm/professional, values-led. Verbatim: "we take care of you like family"; "Our veteran-owned company brings discipline, commitment to excellence, honesty, and integrity to every job"; "our plumbers are standing by 24 hours a day to deliver fast service". Brags: 50+ years, veteran-owned, same-day service, "fastest turnaround times in Central Ohio", hundreds of 5-star reviews. Techs present good/better/best options on company iPads (careers page) — process-minded.</t>
        </is>
      </c>
      <c r="AN2" s="8" t="inlineStr">
        <is>
          <t>Owner-operator</t>
        </is>
      </c>
      <c r="AO2" s="8" t="inlineStr">
        <is>
          <t>Not found (company page exists: https://www.linkedin.com/company/ohiowaterheaters/ — 70 followers, 2–10 employees; owner profile search could not be run, web-search budget exhausted)</t>
        </is>
      </c>
      <c r="AP2" s="8" t="inlineStr">
        <is>
          <t>Company accounts linked from site footer: https://www.facebook.com/ohiowaterheaters/ (login wall), https://www.instagram.com/ohiowaterheaters/ (rate-limited), https://twitter.com/ohiowaterheater, https://www.linkedin.com/company/ohiowaterheaters/. No personal owner handles found.</t>
        </is>
      </c>
      <c r="AQ2" s="8" t="inlineStr">
        <is>
          <t>https://www.ohiowaterheaters.com</t>
        </is>
      </c>
      <c r="AR2" s="8" t="inlineStr">
        <is>
          <t>Not found (no info@/office@ address on site; only mike@ohiowaterheaters.com is published)</t>
        </is>
      </c>
      <c r="AS2" s="8" t="inlineStr">
        <is>
          <t>6475 E Main St Ste 115, Reynoldsburg, OH 43068 (site footer + Reynoldsburg service-area page). Second address on BBB and in the site's own Google Maps links: 13799 Nantucket Ave, Pickerington, OH 43147. Both are published by the business; which is the working office is unresolved.</t>
        </is>
      </c>
      <c r="AT2" s="8" t="inlineStr">
        <is>
          <t>43068</t>
        </is>
      </c>
      <c r="AU2" s="8" t="inlineStr">
        <is>
          <t>Central Ohio "from Westerville to Grove City and Newark to Marysville"; About page lists 35 communities incl. Columbus, Reynoldsburg, Pickerington, Gahanna, New Albany, Pataskala, Westerville, Dublin, Powell, Lancaster, Newark, Zanesville (https://www.ohiowaterheaters.com/about-us)</t>
        </is>
      </c>
      <c r="AV2" s="8" t="inlineStr">
        <is>
          <t>https://www.google.com/maps/place/Ohio+Water+Heaters/@39.9348874,-82.7431187,17z/data=!3m1!4b1!4m6!3m5!1s0x883865575204ef75:0x741c27f125ef118f!8m2!3d39.9348874!4d-82.7431187!16s%2Fg%2F11lgqzf04f (resolved from the maps.app.goo.gl link on the homepage; Pickerington address pin)</t>
        </is>
      </c>
      <c r="AW2" s="8" t="inlineStr">
        <is>
          <t>4.9 per the scout's web-search snippet (2026-10-14) — NOT verified; the Maps place page would not render in this session</t>
        </is>
      </c>
      <c r="AX2" s="8" t="inlineStr">
        <is>
          <t>41 per the same unverified snippet; site claims "hundreds of 5-star reviews across Greater Columbus" (self-claim, https://www.ohiowaterheaters.com/)</t>
        </is>
      </c>
      <c r="AY2" s="8" t="inlineStr">
        <is>
          <t>CONFLICT: site About says "began it's business 50 years ago, all the way back in 1970" and LinkedIn says Founded 1970; BBB foundingDate is 2020-01-22. Hypothesis: new entity or ownership change around 2020; Ohio SOS could not be checked (site returned a maintenance page 2026-10-14). Either way 3+ years in business.</t>
        </is>
      </c>
      <c r="AZ2" s="8" t="inlineStr">
        <is>
          <t>5 employees (BBB) / 2–10 (LinkedIn company page). Named publicly: Mike Matheny (owner), Tammy (office staff, named in two site testimonials), Jordan and Andrew (technicians, named in testimonials), Jacob Smith (listed employee on LinkedIn, no title). Currently hiring 3 field roles.</t>
        </is>
      </c>
      <c r="BA2" s="8" t="inlineStr">
        <is>
          <t>1 Google Maps pin found (Pickerington); LinkedIn company page lists Pickerington HQ plus a Reynoldsburg location. Treat as one operating business with two published addresses.</t>
        </is>
      </c>
      <c r="BB2" s="8" t="inlineStr">
        <is>
          <t>Water heater repair/installation/replacement; tankless, hybrid and heat-pump water heaters (Rheem, Rinnai, Noritz); water treatment (softening, filtration, reverse osmosis); plumbing repair/installation, sump pumps, garbage disposals, drain repair, faucets; heating (furnace repair/replacement/maintenance) and air conditioning pages added Oct 2025–Jan 2026 (Amana product pages); GreenSky financing up to $25,000</t>
        </is>
      </c>
      <c r="BC2" s="8" t="inlineStr">
        <is>
          <t>modern — Housecall Pro online booking, CallRail call tracking, GTM/gtag, GreenSky financing portal, SMS opt-in on contact form, Microsoft 365 mail (MX outlook.com); no chat/text widget; Yoast default JSON-LD only</t>
        </is>
      </c>
      <c r="BD2" s="8" t="inlineStr">
        <is>
          <t>agency_managed (likely, agency not named): CallRail + GTM stack, 12 pages of SEO blog posts, city service-area pages, careers hosted under an EasyApply account named "marketing614llc" — verify whether a local agency runs their marketing before pitching GEO</t>
        </is>
      </c>
      <c r="BE2" s="8" t="inlineStr">
        <is>
          <t>scaling — hiring both plumbing and HVAC field roles, new HVAC service line (Jan 2026 pages), 2 published addresses; still a 5-person shop per BBB</t>
        </is>
      </c>
      <c r="BF2" s="8" t="inlineStr">
        <is>
          <t>unknown — Google review replies could not be loaded; BBB shows 2 complaints in 3 years (text not accessible), 0 BBB customer reviews</t>
        </is>
      </c>
      <c r="BG2" s="8" t="inlineStr">
        <is>
          <t>Site promises "Business Hours Mon to Sun 24/7", "Call Us 24/7" and "our plumbers are standing by 24 hours a day" on a 5-employee shop (BBB). No answering service, call center or AI receptionist is named anywhere on the site or in page source. Who actually picks up after hours: Not found. Reviews on the site name "Tammy" as the person taking the first call during the day.</t>
        </is>
      </c>
      <c r="BH2" s="8" t="inlineStr">
        <is>
          <t>Yes — Housecall Pro "book online" button on the homepage (https://book.housecallpro.com/book/Ohio-Water-Heaters/24a9812bf64f431ca3cb69f240caf54a); the booking page needs JavaScript so live availability was not verified. Primary CTA is still "Call Us: 614.756.5919".</t>
        </is>
      </c>
      <c r="BI2" s="8" t="inlineStr">
        <is>
          <t>No chat or text-us widget in page source. Contact form includes SMS-consent language ("you consent to receive text messages from Ohio Water Heaters ... including messages sent by autodialer"), so they already text leads. No form response-time promise.</t>
        </is>
      </c>
      <c r="BJ2" s="8" t="inlineStr">
        <is>
          <t>WordPress (Astra theme, Beaver Builder, WP Rocket, Site Kit by Google, Yoast JSON-LD); CallRail swap.js (company 886824471); Google Tag Manager / gtag; Housecall Pro online booking; GreenSky financing; Cloudflare email obfuscation; Microsoft 365 mail (MX ohiowaterheaters-com.mail.protection.outlook.com); EasyApply job board (account "marketing614llc"). No Podium/Birdeye/chat/AI-receptionist scripts.</t>
        </is>
      </c>
      <c r="BK2" s="8" t="inlineStr">
        <is>
          <t>not checked — Google Ads Transparency Center and Meta Ad Library require JS/search and the web-search budget was exhausted. On-site evidence: CallRail dynamic number swap is live (they pay to track inbound calls). LSA badge: not checked.</t>
        </is>
      </c>
      <c r="BL2" s="8" t="inlineStr">
        <is>
          <t>not checked — no AI platform (ChatGPT/Perplexity/Gemini) could be queried from this session and the web-search budget was exhausted before the money-question checks. Schema note: homepage JSON-LD is Yoast's default WebPage/WebSite/Organization graph; no FAQPage observed. Run the GEO audit before any "Named in X of Y" claim.</t>
        </is>
      </c>
      <c r="BM2" s="8" t="inlineStr">
        <is>
          <t>PASS — not a chain/franchise (1 Maps pin, independent, named owner, no parent entity); working own-domain site (WordPress, © 2026, updated Jan 2026); live U.S. business (BBB A+, hiring live Oct 2026); inbound channel = phone + form + Housecall Pro booking; plumbing core niche, not a competitor; no AI receptionist or GEO vendor credited; not in suppression.csv or seen.csv (grepped domain, name, "Matheny"); no "no solicitation" notice. Not run: GHL E4L Services dedupe (needs ghl-contacts.js/API), Ohio SOS status (site in maintenance).</t>
        </is>
      </c>
      <c r="BN2" s="8" t="inlineStr">
        <is>
          <t>D1 Decision-maker reachable: 20/20 — "Mike Matheny – Owner and President" on About page + BBB "Mr. Michael T. Matheny, Owner"; mike@ohiowaterheaters.com displayed on About and Contact pages (Cloudflare data-cfemail decoded from the page's own markup; MX present via dns.google); secondary channel = BBB phone +1 614-259-8554 distinct from main line. | D2 Phone-coverage gap: 15/15 — phone-first ("Call Us: 614.756.5919" hero, "Call Us 24/7" header); inherently urgent niche; quoted "Business Hours Mon to Sun 24/7" and "standing by 24 hours a day" with no answering-service/AI mention on site or in source; GBP hours not verified. | D3 Lead-response leak: 0/15 NO EVIDENCE — Google reviews, Yelp (403), Indeed (403), BBB complaint text all unreachable; site testimonials praise responsiveness; no front-office job post; Housecall Pro booking exists so friction signal does not fire. | D4 AI visibility gap: 0/10 NO EVIDENCE — no AI platform checked; Yoast default JSON-LD, no FAQPage seen. | D5 ICP fit/ability to pay: 15/15 — independently owned, named owner, veteran/family-owned; plumbing core niche; proxies: 3+ yrs (BBB 2020-01-22, site 1970), 3+ named staff (Mike, Tammy, Jordan, Andrew, Jacob Smith), water-heater/tankless/HVAC tickets + GreenSky financing to $25k, 35-community service area + 24/7. | D6 Timing + spend: 11/15 — trigger 61–180 days (LinkedIn hiring posts ~May 2026; live undated board today) plus spend signals CallRail dynamic swap + GTM; Google Ads/LSA/Meta not checked (logged). | D7 Attitude/stack: 10/10 — modern maintained site (© 2026, pages updated Jan 2026), tech adoption (Housecall Pro, CallRail, GreenSky, SMS), growth posture (hiring, HVAC expansion); no hostile signals observed; no confirmed bundled-agency conflict (verify "marketing614llc"). TOTAL 71 — TRUSTED (5 of 7 dimensions with evidence, D1 positive, D2 direct quote, D5 cited) → QUALIFIED band; not SEND TODAY because D4 spot-check was not run and only 5 dimensions carry evidence.</t>
        </is>
      </c>
      <c r="BO2" s="8" t="inlineStr">
        <is>
          <t>https://www.ohiowaterheaters.com/about-us, https://www.ohiowaterheaters.com/contact-us, https://www.bbb.org/us/oh/pickerington/profile/water-heater-dealers/ohio-water-heaters-0302-70124557, https://www.ohiowaterheaters.com/, https://marketing614llc.easyapply.co/, https://www.linkedin.com/company/ohiowaterheaters/, https://www.ohiowaterheaters.com/reviews/, https://www.ohiowaterheaters.com/financing/, https://www.ohiowaterheaters.com/page-sitemap.xml, https://www.ohiowaterheaters.com/service-areas/reynoldsburg-oh-water-heater-repair-installation/, https://book.housecallpro.com/book/Ohio-Water-Heaters/24a9812bf64f431ca3cb69f240caf54a, https://www.google.com/maps/place/Ohio+Water+Heaters/@39.9348874,-82.7431187,17z/data=!3m1!4b1!4m6!3m5!1s0x883865575204ef75:0x741c27f125ef118f!8m2!3d39.9348874!4d-82.7431187!16s%2Fg%2F11lgqzf04f, https://dns.google/resolve?name=ohiowaterheaters.com&amp;type=MX</t>
        </is>
      </c>
      <c r="BP2" s="8" t="inlineStr">
        <is>
          <t>Medium</t>
        </is>
      </c>
      <c r="BQ2" s="8" t="inlineStr">
        <is>
          <t>Title detail: Owner and President (site About page); "Mr. Michael T. Matheny, Owner" (BBB Business Management). Reachable, named owner with a confirmed on-domain email and a clean phone-first/24-7 gap on a 5-person shop — but two dimensions are NO EVIDENCE, so this is QUALIFIED (71), not SEND TODAY. Before first touch: (1) run the GEO spot-check and the full audit; (2) open the GBP and read the 20 newest reviews for reply rate and any phone complaints; (3) check Google Ads Transparency / Meta Ad Library (CallRail says they pay to track calls); (4) verify who "marketing614llc" is — if a local agency runs their marketing, lead with the voice demo (coexists with Housecall Pro) and hold GEO. Conflicts to be aware of: "since 1970" vs BBB start 2020-01-22 (Ohio SOS was down for maintenance); two addresses (Reynoldsburg suite vs Pickerington on BBB/Maps); careers page uses the brand "Ohio Plumbing Heating &amp; Cooling". Do not open with the family/veteran story beyond "veteran-owned" as published; do not quote the 4.9/41 rating until verified. Email is CONFIRMED (shown on About/Contact, MX present) — email-first with Sam calling within 48 hours is the right route. GHL dedupe by domain/phone/name+city still needs to run in E4L Services before loading.</t>
        </is>
      </c>
      <c r="BR2" s="10" t="inlineStr"/>
      <c r="BS2" s="10" t="inlineStr"/>
      <c r="BT2" s="10" t="inlineStr"/>
    </row>
    <row r="3" ht="120" customHeight="1">
      <c r="A3" s="8" t="inlineStr">
        <is>
          <t>20261013-02</t>
        </is>
      </c>
      <c r="B3" s="8" t="inlineStr">
        <is>
          <t>2026-10-13</t>
        </is>
      </c>
      <c r="C3" s="8" t="n">
        <v>2</v>
      </c>
      <c r="D3" s="10" t="inlineStr"/>
      <c r="E3" s="10" t="inlineStr">
        <is>
          <t>New</t>
        </is>
      </c>
      <c r="F3" s="8" t="n">
        <v>62</v>
      </c>
      <c r="G3" s="8">
        <f>IF(F3="","",IF(F3&gt;=80,"A — send today",IF(F3&gt;=60,"B — worth a touch",IF(F3&gt;=40,"C — hold","D — reject"))))</f>
        <v/>
      </c>
      <c r="H3" s="8" t="inlineStr">
        <is>
          <t>Armoured Plumbing, Inc.</t>
        </is>
      </c>
      <c r="I3" s="8" t="inlineStr">
        <is>
          <t>Barry</t>
        </is>
      </c>
      <c r="J3" s="8" t="inlineStr">
        <is>
          <t>Arnold</t>
        </is>
      </c>
      <c r="K3" s="8" t="inlineStr">
        <is>
          <t>Owner</t>
        </is>
      </c>
      <c r="L3" s="8" t="inlineStr">
        <is>
          <t>Barry@ArmouredPlumbing.com</t>
        </is>
      </c>
      <c r="M3" s="8" t="inlineStr">
        <is>
          <t>Personal (named)</t>
        </is>
      </c>
      <c r="N3" s="8" t="inlineStr">
        <is>
          <t>Confirmed</t>
        </is>
      </c>
      <c r="O3" s="8" t="inlineStr">
        <is>
          <t>Not found (only the main line 916-782-8133 is published anywhere; no cell, 'call me', or second number on site, BBB, Nextdoor, or old site)</t>
        </is>
      </c>
      <c r="P3" s="8" t="inlineStr">
        <is>
          <t>+1 916-782-8133 (tel: links on site, BBB, Nextdoor; BBB also lists fax +1 916-772-0331)</t>
        </is>
      </c>
      <c r="Q3" s="8" t="inlineStr">
        <is>
          <t>Plumbing (residential service: emergency, drain/sewer, trenchless, water heaters, water filtration)</t>
        </is>
      </c>
      <c r="R3" s="8" t="inlineStr">
        <is>
          <t>core</t>
        </is>
      </c>
      <c r="S3" s="8" t="inlineStr">
        <is>
          <t>Roseville</t>
        </is>
      </c>
      <c r="T3" s="8" t="inlineStr">
        <is>
          <t>CA</t>
        </is>
      </c>
      <c r="U3" s="8" t="inlineStr">
        <is>
          <t>They invested in a full website rebuild this year (old WordPress site live through April 2026; new Duda site with 60+ city/service pages now) and put '24/7 Rapid Response' on the homepage — the new copy is making a promise the published channels do not show coverage for. Add the inferred seasonal window: water-heater failures and burst pipes climb heading into winter in the Sacramento area, and the business already advertises for 10 cities.</t>
        </is>
      </c>
      <c r="V3" s="8" t="inlineStr">
        <is>
          <t>Family-Legacy Pride Brand (secondary: Growth-Minded Operator)</t>
        </is>
      </c>
      <c r="W3" s="8" t="inlineStr">
        <is>
          <t>Voice AI live demo built from armouredplumbing.com, emergency angle (2 a.m. burst pipe / water heater call), paired with missed-call text-back. Door-opener: demo number first; GEO audit as ask #2 once the 3 money questions have been run.</t>
        </is>
      </c>
      <c r="X3" s="8" t="inlineStr">
        <is>
          <t>Recover</t>
        </is>
      </c>
      <c r="Y3" s="8" t="inlineStr">
        <is>
          <t>the 2 a.m. call to 916-782-8133</t>
        </is>
      </c>
      <c r="Z3" s="8" t="inlineStr">
        <is>
          <t>Saw the new Armoured Plumbing site — '24/7 Rapid Response' on the homepage, six plumbers named on the page, and your own email in the footer, which tells me you still answer for the business yourself.</t>
        </is>
      </c>
      <c r="AA3" s="8" t="inlineStr">
        <is>
          <t>Relief and legacy, not 'AI': the site promises 24/7 rapid response for emergencies, but the only non-phone channel promises a reply within 24 hours, and there is one office line for six trucks. Ask who picks up at night and on Sundays right now (Barry, Danielle, or voicemail), then offer the demo line trained on their own site that answers, qualifies the caller, and books — go-live is one call-forwarding rule for missed/busy calls. Position as after-hours and overflow only; Danielle keeps the desk.</t>
        </is>
      </c>
      <c r="AB3" s="8" t="inlineStr">
        <is>
          <t>'We've done it this way for 40 years and a real person answers our phone' / 'Danielle handles the phones' — answer: this only catches what already goes to voicemail after hours or while she is on the other line; hear it first on the demo number before deciding anything. Secondary: 'we just paid for a new website' — the demo uses that site; nothing to rebuild.</t>
        </is>
      </c>
      <c r="AC3" s="8" t="inlineStr">
        <is>
          <t>Hi, is this Barry? Barry, it's Sam with Eat 4 Life Marketing — this is a cold call, so feel free to hang up on me, but give me twenty seconds. I was on your new site: '24/7 Rapid Response' on the homepage, six plumbers on the trucks, one office line. Quick question — at 2 a.m. when a Roseville homeowner's water heater lets go, who picks that call up right now: you, Danielle, or voicemail? Reason I ask is we built a demo receptionist from your own website that answers those calls, gets the name and the problem, and books it. Can I text you the number so you can hear it for yourself, or is there a better time to grab you?</t>
        </is>
      </c>
      <c r="AD3" s="8" t="inlineStr">
        <is>
          <t>Tue-Thu 7:30-8:30 AM PT, before the six plumbers dispatch — the office line is the only number published, the office manager (Danielle) is the likely first voice, and the owner is most reachable before trucks roll. Backup window: 4:00-5:30 PM PT.</t>
        </is>
      </c>
      <c r="AE3" s="8" t="inlineStr">
        <is>
          <t>Current site posts no hours. Previous site (Wayback snapshot 2026-01-15 of the same domain) footer: 'Mon-Sat 24 hours, Sun by appointment'. GBP hours not retrievable this run — Sam should confirm on the first dial.</t>
        </is>
      </c>
      <c r="AF3" s="8" t="inlineStr">
        <is>
          <t>America/Los_Angeles (Pacific)</t>
        </is>
      </c>
      <c r="AG3" s="8" t="inlineStr">
        <is>
          <t>Likely first voice on 916-782-8133: Danielle, Office Manager (site About and BBB; BBB lists her as 'Danielle Curtis', site and the CA corporate-agent record list 'Danielle Arnold' — use 'Danielle' only). Her mailbox Danielle@ArmouredPlumbing.com is also the JSON-LD contact email, so she reads the general inbox. No answering service or IVR detected in source; owner cell not published. Through-line: 'Hi Danielle, Sam with Eat 4 Life — is Barry in the office before the trucks go out, or should I try back at 4:30?' If Danielle is the phone owner, she is a legitimate champion: offer her the demo number directly.</t>
        </is>
      </c>
      <c r="AH3" s="8" t="inlineStr">
        <is>
          <t>The 2026 website rebuild: the site went from a WordPress 'Tried and True' page (Wayback through 2026-04-17) to a new Duda build with 60+ city/service pages, a '24/7 Rapid Response' emergency-services heading on the homepage and Barry's own email in the footer — a fresh, positive, public thing to reference, and it is exactly where the after-hours gap shows.</t>
        </is>
      </c>
      <c r="AI3" s="8" t="inlineStr">
        <is>
          <t>(1) Promise vs. form: services heading '24/7 Rapid Response: Precision Emergency Plumbing &amp; Repairs' on the homepage while the only non-phone channel says 'Someone will be in contact with you in 24 hours or sooner' — https://www.armouredplumbing.com. (2) No hours published on the new site; old site said 'Mon-Sat 24 hours, Sun by appointment' — https://web.archive.org/web/20260115230218/https://www.armouredplumbing.com/. (3) Booking friction: no scheduler, no chat, no text; every CTA is 'Call Now' to one line. (4) Six plumbers in the field and one named office manager on the published roster — About page. (5) Reviews mentioning phones: not retrievable this run (Google/Yelp blocked) — logged null.</t>
        </is>
      </c>
      <c r="AJ3" s="8" t="inlineStr">
        <is>
          <t>(1) Website rebuild in 2026: Wayback shows the WordPress/Ohava site through 2026-04-17; the live Duda site (copyright 2026, 60+ service-by-city pages, new '24/7' copy, Barry@ email) replaced it between 2026-04-17 and 2026-10-14 (embedded Maps link carries a 2026-05-02 build parameter) — trigger_type: new website, 61-180 days. (2) Nextdoor Neighborhood Fave 2026 badge. (3) 'We're hiring!' plumber careers page on the Jan-2026 site (production role, not front office; page dropped in the rebuild). (4) Seasonal (inferred, not business-specific): water-heater and burst-pipe season approaching for the Sacramento area.</t>
        </is>
      </c>
      <c r="AK3" s="8" t="inlineStr">
        <is>
          <t>(1) Website: 'Since 1981, this family-owned business has been providing fast and reliable plumbing services' and 'honest service at honest prices' — https://www.armouredplumbing.com (2026-10-14). (2) Nextdoor: 'Family-owned plumbing company in Roseville, CA', Neighborhood Fave 2017-2019, 2021-2023, 2025, 2026 — https://nextdoor.com/pages/armoured-plumbing-roseville-ca/ (2026-10-14). (3) BBB A+ accredited since 12/30/2021, 0 complaints — https://www.bbb.org/us/ca/roseville/profile/plumber/armoured-plumbing-1156-33008937. (4) Growth: 2026 site rebuild with 60+ city/service pages (Wayback 2026-01-15 vs live) and 'We're hiring!' careers page on the Jan-2026 site. Confidence medium (3+ signals, 3 source categories; review-reply behavior unobservable).</t>
        </is>
      </c>
      <c r="AL3" s="8" t="inlineStr">
        <is>
          <t>Self-stated on About page only: 'After a start in drain cleaning, we opened Armoured Plumbing in 1981' and 'When we started in this industry, we knew we could do it better.' No interviews, podcasts, military/trade-school statements found. CSLB License # 543060 was printed on the previous site footer (Wayback 2026-01-15); CSLB personnel record not retrievable (form-gated).</t>
        </is>
      </c>
      <c r="AM3" s="8" t="inlineStr">
        <is>
          <t>Tone: warm/plain, legacy-proud. Verbatim: 'honest service at honest prices'; 'Our only goal is to leave our customers satisfied.'; old tagline 'Tried and True' and 'stellar, trustworthy service for 40 years and going strong' (Wayback 2026-01-15). Brags: family-owned since 1981, 'nearly perfect 5-star Google rating', licensed/bonded/insured, names his plumbers on the homepage. Community: BBB A+ accredited since 12/30/2021; Nextdoor Neighborhood Fave 8 years incl. 2026.</t>
        </is>
      </c>
      <c r="AN3" s="8" t="inlineStr">
        <is>
          <t>Owner-operator</t>
        </is>
      </c>
      <c r="AO3" s="8" t="inlineStr">
        <is>
          <t>Not found (LinkedIn X-ray could not be run — web search budget exhausted this run; no linkedin.com href in site HTML)</t>
        </is>
      </c>
      <c r="AP3" s="8" t="inlineStr">
        <is>
          <t>Company only: https://facebook.com/ArmouredPlumbing (login-walled, not readable), https://nextdoor.com/pages/armoured-plumbing-roseville-ca/ (Neighborhood Fave 2026, 'Family-owned plumbing company in Roseville, CA'), https://yelp.com/biz/armoured-plumbing-services-roseville (403 this run). No owner-personal handles found.</t>
        </is>
      </c>
      <c r="AQ3" s="8" t="inlineStr">
        <is>
          <t>https://www.armouredplumbing.com</t>
        </is>
      </c>
      <c r="AR3" s="8" t="inlineStr">
        <is>
          <t>Danielle@ArmouredPlumbing.com (office manager mailbox; in site footer and the LocalBusiness JSON-LD 'email' field) — no info@/office@ found</t>
        </is>
      </c>
      <c r="AS3" s="8" t="inlineStr">
        <is>
          <t>228 Church St, Roseville, CA 95678 (site JSON-LD + BBB + OpenCorporates registered address)</t>
        </is>
      </c>
      <c r="AT3" s="8" t="inlineStr">
        <is>
          <t>95678</t>
        </is>
      </c>
      <c r="AU3" s="8" t="inlineStr">
        <is>
          <t>Auburn, Citrus Heights, Elk Grove, Folsom, Granite Bay, Lincoln, Rancho Cordova, Rocklin, Roseville, Sacramento, CA (10 city pages per service in sitemap)</t>
        </is>
      </c>
      <c r="AV3" s="8" t="inlineStr">
        <is>
          <t>https://www.google.com/maps/place/?q=place_id:ChIJVZF713kgm4ARwvGbBP1M-HU (site links Maps place 'Armoured Plumbing, Inc.' at 38.75038,-121.287772; listing not renderable this run)</t>
        </is>
      </c>
      <c r="AW3" s="8" t="inlineStr">
        <is>
          <t>Not found (GBP not renderable this run; site claims 'a nearly perfect 5-star Google rating')</t>
        </is>
      </c>
      <c r="AX3" s="8" t="inlineStr">
        <is>
          <t>Not found (Google/Yelp blocked this run; BBB shows 2 customer reviews, 0 complaints in 3 years; Nextdoor shows 3 visible recommendations and Neighborhood Fave badges 2017-2019, 2021-2023, 2025, 2026)</t>
        </is>
      </c>
      <c r="AY3" s="8" t="inlineStr">
        <is>
          <t>CONFLICT: site 'we opened Armoured Plumbing in 1981' / 'over 40 years'; BBB Business Started 1988-10-03; CA entity #4224371 registration filing 2019-01-01 (OpenCorporates). Hypothesis: long-running sole prop/partnership incorporated in 2019; use 'since 1981' only as 'four decades' in copy.</t>
        </is>
      </c>
      <c r="AZ3" s="8" t="inlineStr">
        <is>
          <t>Approx. 8 named on the About page: Barry Arnold (Owner), Danielle Arnold (Office Manager), plumbers Michael Wright, Rudy Velasquez, Jessie Scandrol, Al Rendon, Philip Simon, Mike Nelson. BBB employee count not listed.</t>
        </is>
      </c>
      <c r="BA3" s="8" t="inlineStr">
        <is>
          <t>1 (single Roseville address on site, BBB, OpenCorporates; no locations page)</t>
        </is>
      </c>
      <c r="BB3" s="8" t="inlineStr">
        <is>
          <t>Emergency plumbing, drain cleaning, leak detection, sewer line repair/replacement, trenchless sewer repair, water heater repair/installation (tank + tankless), water filtration system installation, toilet/faucet/garbage disposal repair and installation; residential and commercial</t>
        </is>
      </c>
      <c r="BC3" s="8" t="inlineStr">
        <is>
          <t>basic — SSL, Duda-built site (2026), contact form with reCAPTCHA, Elfsight review widget, LocalBusiness JSON-LD; no booking, chat, text-us, call tracking, or pixels. Previous site: WordPress 'Made with by Ohava'. Mail on Yahoo business MX.</t>
        </is>
      </c>
      <c r="BD3" s="8" t="inlineStr">
        <is>
          <t>diy — DIY/small-designer site builds (Ohava, then Duda), no agency credit, no GTM/FB pixel/CallRail in source, SEO-style city pages suggest a template SEO package but no vendor named</t>
        </is>
      </c>
      <c r="BE3" s="8" t="inlineStr">
        <is>
          <t>established (40+ years, 6 named plumbers, 10-city service area; hiring plumbers in Jan 2026 and a 2026 site rebuild lean toward scaling)</t>
        </is>
      </c>
      <c r="BF3" s="8" t="inlineStr">
        <is>
          <t>unknown — Google/Yelp reviews and owner replies not retrievable this run (403/JS); BBB shows 2 reviews, 0 complaints</t>
        </is>
      </c>
      <c r="BG3" s="8" t="inlineStr">
        <is>
          <t>claims_24_7 with no coverage proof: a services-section heading reads '24/7 Rapid Response: Precision Emergency Plumbing &amp; Repairs' (the hero itself reads 'We Solve Your Plumbing Problems!') and the emergency page says 'whether in the middle of the night or during peak hours', yet the contact form promises only 'Someone will be in contact with you in 24 hours or sooner', the new site posts no hours, and the page source has no answering-service, AI-receptionist, or call-tracking script. Old site footer: 'Mon-Sat 24 hours, Sun by appointment' (Wayback 2026-01-15). Who actually picks up after hours: unknown — Sam to ask.</t>
        </is>
      </c>
      <c r="BH3" s="8" t="inlineStr">
        <is>
          <t>None — 'Book Now' / 'Schedule Now' / 'Get Quote' buttons open an on-page Duda popup form; no third-party scheduler (no servicetitan/housecall/jobber/calendly in source)</t>
        </is>
      </c>
      <c r="BI3" s="8" t="inlineStr">
        <is>
          <t>None (no chat, text-us, or messaging widget in source)</t>
        </is>
      </c>
      <c r="BJ3" s="8" t="inlineStr">
        <is>
          <t>Duda (site builder, cdn-website.com assets), Elfsight (reviews widget on /reviews), Google reCAPTCHA (forms), Yahoo business mail (MX mx-biz.mail.am0.yahoodns.net); prior site WordPress by Ohava (through Apr 2026). Not found: GTM/gtag IDs, Meta pixel, CallRail/CTM, Podium/Birdeye, any AI receptionist or answering-service vendor.</t>
        </is>
      </c>
      <c r="BK3" s="8" t="inlineStr">
        <is>
          <t>None found / partially checked: no gclid/UTM landing pages or call-tracking swap in source; Google Ads Transparency Center for armouredplumbing.com returned no advertiser (page needs JS, treat as inconclusive); Meta Ad Library, LSA 'Google Guaranteed' badge, and Yelp Ads NOT checked (web search budget exhausted this run)</t>
        </is>
      </c>
      <c r="BL3" s="8" t="inlineStr">
        <is>
          <t>not checked — no ChatGPT/Perplexity/Gemini access this run; D4 logged NO EVIDENCE (0). Schema note: site has LocalBusiness JSON-LD but no FAQPage schema despite FAQ copy on service pages. Run the 3 plumbing money questions for Roseville, CA ('emergency plumber near Roseville, CA', 'plumber that answers the phone Roseville, CA', 'who should I call for a burst pipe in Roseville, CA') before first touch.</t>
        </is>
      </c>
      <c r="BM3" s="8" t="inlineStr">
        <is>
          <t>PASS. Chain/franchise: no (independent, 1 location, no franchise language, not in CHAIN_HINTS names). Website: live own domain, HTTPS, Duda build, copyright 2026. Live US business: active CA stock corporation #4224371 (OpenCorporates, status Active, agent Danielle Arnold), BBB A+ accredited, Nextdoor Fave 2026. Inbound channel: phone + contact form. Not a competitor category. AI receptionist/answering service: none found in source. Suppression/seen: no match (only unrelated 'Armored Roofing' rows). No 'no solicitation' notice seen. CSLB status could not be verified (form-gated) — license # 543060 shown on prior site; flag for Rozel.</t>
        </is>
      </c>
      <c r="BN3" s="8" t="inlineStr">
        <is>
          <t>D1 Decision-maker reach: 14/20 — Barry Arnold, Owner, cited on About page (https://www.armouredplumbing.com/about-us4fe69110) and BBB Business Management (https://www.bbb.org/us/ca/roseville/profile/plumber/armoured-plumbing-1156-33008937); personal domain email Barry@ArmouredPlumbing.com published in site footer/About mailto (MX present); no secondary channel (no LinkedIn, no second phone) found. | D2 Phone/after-hours gap: 15/15 — phone-first ('Call Now' nav + 5 tel: links, no scheduler); plumbing is inherently urgent; '24/7 Rapid Response' claim with no answering-service/AI vendor in page source; hours string 'Mon-Sat 24 hours, Sun by appointment' (prior site, Wayback 2026-01-15); form promise '24 hours or sooner'. | D3 Lead-response leak: 5/15 — one signal type (booking/contact friction: no scheduler, chat, or text; all CTAs to one line). Caveat for Rozel: the form does state a '24 hours or sooner' promise, so strict criterion (5) is borderline; reviews, Yelp response stats, and job boards could not be checked (Google/Yelp 403, search budget exhausted) — logged null. | D4 AI visibility: 0/10 — NO EVIDENCE (no AI platform could be queried this run); note: LocalBusiness JSON-LD present, no FAQPage schema. | D5 ICP fit/ability to pay: 15/15 — independent, family-owned, 1 location, named owner; core plumbing niche; proxies: 40+ years (site 1981 / BBB 1988), 8 named staff incl. 6 plumbers, high-ticket menu (water heaters, trenchless/sewer replacement, filtration: plumbing row $1.5-5k+), 10-city service area, 24/7 emergency claim. | D6 Buying signals: 7/15 — trigger: new website 61-180 days old (Wayback 2026-04-17 old site vs. live Duda rebuild); spend: none found in source (no gclid/UTM, GTM, pixel, CallRail, agency credit); Ads Transparency inconclusive; LSA/Meta/Yelp Ads not checked — partial null logged. | D7 Owner attitude/stack: 6/10 — positives: modern site (copyright 2026, rebuilt 2026), growth posture (Nextdoor Fave 2026, hiring plumbers Jan 2026); no negatives observed; no incumbent agency conflict (Duda DIY); review-reply tone unobservable. | TOTAL 62 — QUALIFIED. Status: TRUSTED (6 of 7 dimensions evidenced, D1 positive, D2 direct hours/claim quotes, D5 evidenced; hard-disqualifier pass recorded PASS against suppression.csv/seen.csv — GHL sub-account dedupe via ghl-contacts.js still to be run by the assembler).</t>
        </is>
      </c>
      <c r="BO3" s="8" t="inlineStr">
        <is>
          <t>https://www.armouredplumbing.com, https://www.armouredplumbing.com/about-us4fe69110, https://www.bbb.org/us/ca/roseville/profile/plumber/armoured-plumbing-1156-33008937, https://web.archive.org/web/20260115230218/https://www.armouredplumbing.com/, https://web.archive.org/web/20260115230218/https://www.armouredplumbing.com/careers/, https://opencorporates.com/companies/us_ca/4224371, https://nextdoor.com/pages/armoured-plumbing-roseville-ca/, https://www.armouredplumbing.com/emergency-plumbing/roseville-ca, https://www.armouredplumbing.com/reviews, https://www.armouredplumbing.com/sitemap.xml, https://yelp.com/biz/armoured-plumbing-services-roseville, https://facebook.com/ArmouredPlumbing, https://www.cslb.ca.gov/OnlineServices/CheckLicenseII/CheckLicense.aspx</t>
        </is>
      </c>
      <c r="BP3" s="8" t="inlineStr">
        <is>
          <t>Medium</t>
        </is>
      </c>
      <c r="BQ3" s="8" t="inlineStr">
        <is>
          <t>1) Email-first is viable: Barry@ArmouredPlumbing.com is on the live site footer and About page (mailto in HTML), MX present (Yahoo business mail); keep it plain-text, no links, 55-90 words. 2) Mirror the legacy voice: 'tried and true', 'honest service at honest prices', four decades — do not say 'modernize'. 3) Founding year CONFLICT (site 1981 / BBB 1988 / corp 2019): say 'four decades', not a number. 4) Do not infer or mention any family relationship between Barry and Danielle; the site just lists both. 5) Before first touch: build the voice demo (D2 = 15, site scrapable) and run the 3 plumbing money questions for Roseville, CA — D4 was NO EVIDENCE this run and Google reviews/GBP hours were unreachable, so the review-based pain quote is still missing; Rozel should re-check Google reviews for 'call/voicemail/answer' before Sam's dial. 6) GHL 'E4L Services' dedupe (ghl-contacts.js) and CSLB status for license # 543060 still need to be run by the assembler.</t>
        </is>
      </c>
      <c r="BR3" s="10" t="inlineStr"/>
      <c r="BS3" s="10" t="inlineStr"/>
      <c r="BT3" s="10" t="inlineStr"/>
    </row>
    <row r="4" ht="120" customHeight="1">
      <c r="A4" s="8" t="inlineStr">
        <is>
          <t>20261013-03</t>
        </is>
      </c>
      <c r="B4" s="8" t="inlineStr">
        <is>
          <t>2026-10-13</t>
        </is>
      </c>
      <c r="C4" s="8" t="n">
        <v>2</v>
      </c>
      <c r="D4" s="10" t="inlineStr"/>
      <c r="E4" s="10" t="inlineStr">
        <is>
          <t>New</t>
        </is>
      </c>
      <c r="F4" s="8" t="n">
        <v>61</v>
      </c>
      <c r="G4" s="8">
        <f>IF(F4="","",IF(F4&gt;=80,"A — send today",IF(F4&gt;=60,"B — worth a touch",IF(F4&gt;=40,"C — hold","D — reject"))))</f>
        <v/>
      </c>
      <c r="H4" s="8" t="inlineStr">
        <is>
          <t>Omega Environmental LLC</t>
        </is>
      </c>
      <c r="I4" s="8" t="inlineStr">
        <is>
          <t>Alex</t>
        </is>
      </c>
      <c r="J4" s="8" t="inlineStr">
        <is>
          <t>Kearson</t>
        </is>
      </c>
      <c r="K4" s="8" t="inlineStr">
        <is>
          <t>Owner / Founder</t>
        </is>
      </c>
      <c r="L4" s="8" t="inlineStr">
        <is>
          <t>alexkearson@gmail.com</t>
        </is>
      </c>
      <c r="M4" s="8" t="inlineStr">
        <is>
          <t>Personal (named)</t>
        </is>
      </c>
      <c r="N4" s="8" t="inlineStr">
        <is>
          <t>Confirmed</t>
        </is>
      </c>
      <c r="O4" s="8" t="inlineStr">
        <is>
          <t>Not found as a separately published owner line. Note: the site's text widget says "This text goes straight to my personal phone", so the main line +1 904-614-3805 very likely rings the owner - treat as CELL (manual dial only, no SMS/auto). A second number (904) 694-3699 and an address alex@omegamold.com appeared only on the Feb-2026 WordPress version of the site (Wayback) and are on no current page - STALE/UNVERIFIED, do not use.</t>
        </is>
      </c>
      <c r="P4" s="8" t="inlineStr">
        <is>
          <t>+1 904-614-3805</t>
        </is>
      </c>
      <c r="Q4" s="8" t="inlineStr">
        <is>
          <t>Water damage / mold restoration (independent)</t>
        </is>
      </c>
      <c r="R4" s="8" t="inlineStr">
        <is>
          <t>extend</t>
        </is>
      </c>
      <c r="S4" s="8" t="inlineStr">
        <is>
          <t>Jacksonville</t>
        </is>
      </c>
      <c r="T4" s="8" t="inlineStr">
        <is>
          <t>FL</t>
        </is>
      </c>
      <c r="U4" s="8" t="inlineStr">
        <is>
          <t>He just invested in a rebuilt site and a review push (13 reviews in 90 days), so inbound is rising while it still lands on one personal cell; Florida hurricane season runs through Nov 30, when water calls spike at night; Stone Systems supplies text-back but no one is answering the phone when he is on a job.</t>
        </is>
      </c>
      <c r="V4" s="8" t="inlineStr">
        <is>
          <t>Growth-Minded Operator (medium confidence); secondary: Overwhelmed Owner-Operator (owner is the one answering, but no reachability complaints found)</t>
        </is>
      </c>
      <c r="W4" s="8" t="inlineStr">
        <is>
          <t>Voice AI live demo built from omegamold.com (generic home-services template: trade = water damage restoration, problem = flooded house / burst pipe at night - swap "basement" for "burst pipe under the kitchen" since NE Florida homes rarely have basements). Pitch it as the answering layer that picks up when Alex is on-site, captures address + cause + insurance carrier, and books the free inspection. Do NOT pitch missed-call text-back or a website - Stone Systems already supplies both.</t>
        </is>
      </c>
      <c r="X4" s="8" t="inlineStr">
        <is>
          <t>Recover</t>
        </is>
      </c>
      <c r="Y4" s="8" t="inlineStr">
        <is>
          <t>Alex - the calls that hit your personal phone mid-job</t>
        </is>
      </c>
      <c r="Z4" s="8" t="inlineStr">
        <is>
          <t>Your site says the text box goes straight to your personal phone and you'll get back "the second I'm free" - which tells me the owner of Omega Environmental is still the one answering a 24-hour line between remediation jobs.</t>
        </is>
      </c>
      <c r="AA4" s="8" t="inlineStr">
        <is>
          <t>Relief, not growth, and never framed as a missed-call failure (his reviews say he picks up). Angle: "You answer 24/7 yourself and your reviews prove it - this only takes the calls you physically can't while you're under a house with a negative air machine running. It's a receptionist trained on omegamold.com: qualifies the caller, grabs address, cause and carrier for the insurance intake, books the free inspection, and texts you the summary. Hear it on a demo number before you spend a dollar." Secondary: GEO audit is a natural add-on because the new site is already structured for AI answers.</t>
        </is>
      </c>
      <c r="AB4" s="8" t="inlineStr">
        <is>
          <t>"I already pay Stone Systems for the website and missed-call text-back" and "I answer my own phone - read the reviews." Response: nothing on the site changes; this is only the voice layer for calls he can't take live (on-site, after midnight, two emergencies at once); go-live is one conditional call-forward on missed/busy, rollback is one dial code; the demo number lets him hear it first.</t>
        </is>
      </c>
      <c r="AC4" s="8" t="inlineStr">
        <is>
          <t>"Alex? Sam with Eat 4 Life Marketing - this is a cold call, so feel free to hang up on me. I was on omegamold.com and the text box says messages go straight to your personal phone and you'll reply the second you're free - which means you're the one answering a 24-hour line between remediation jobs. We build an AI receptionist trained on your own site that picks up the water-damage calls you can't take while you're on-site, grabs the address and the carrier, and books the inspection - and you can call a demo number and hear it before you pay a dollar. Can I take 20 seconds to tell you how it works, or is this a bad time?"</t>
        </is>
      </c>
      <c r="AD4" s="8" t="inlineStr">
        <is>
          <t>Tue–Thu 8:00–8:45 AM ET (Florida's 8 AM floor) before he is on a job site; backup 4:30–5:30 PM ET. Reason: the site says texts go to his personal phone and reviews say "Alex never hesitates to pick up the phone", so the main line is effectively the owner's cell - call early, keep it to 20 seconds, and never SMS or auto-dial it.</t>
        </is>
      </c>
      <c r="AE4" s="8" t="inlineStr">
        <is>
          <t>Site lists "Monday 24 hours, Tuesday 24 hours, Wednesday 24 hours, Thursday 24 hours, Friday 24 hours, Saturday 24 hours, Sunday 24 hours" and footer "Mon – Fri 24 hours · Saturday 24 hours · Sunday 24 hours" (https://www.omegamold.com/). GBP hours string could not be opened directly.</t>
        </is>
      </c>
      <c r="AF4" s="8" t="inlineStr">
        <is>
          <t>America/New_York (Eastern)</t>
        </is>
      </c>
      <c r="AG4" s="8" t="inlineStr">
        <is>
          <t>No gatekeeper found: no office manager, dispatcher, or staff named on the site, BBB, LinkedIn, or in 20 recent reviews; no answering service credited. The main line +1 904-614-3805 appears to ring Alex directly ("This text goes straight to my personal phone"; reviews: "Alex never hesitates to pick up the phone"). Treat as CELL: manual human dial only, no SMS, no AI voice. If voicemail, leave name, one line about the demo number, and ask for a text-back-friendly time; a second "team member" may answer on-site - ask for Alex by name. OpenCorporates shows 2 active officers (names behind login), so a second decision-maker may exist - ask "is it just you making the call on tools like this?"</t>
        </is>
      </c>
      <c r="AH4" s="8" t="inlineStr">
        <is>
          <t>The new website (rebuilt after May 14, 2026 - Wayback still shows the old WordPress site that day) plus the October 2026 run of reviews praising how he personally answers. Open on the fact that the site's own text box promises replies "the second I'm free" - i.e., he is still the receptionist.</t>
        </is>
      </c>
      <c r="AI4" s="8" t="inlineStr">
        <is>
          <t>No reachability complaints found (20 newest Google reviews are all 5-star; several praise responsiveness: "Alex never hesitates to pick up the phone and call you" - Apr 2026; "was there every time I called him" - Oct 2026). The pain is structural, in the owner's own words: "This text goes straight to my personal phone. I will make sure to get back to you the second I'm free!" and "You'll hear back shortly. For urgent matters, call directly." (https://www.omegamold.com/) alongside "We answer 24 hours a day" - a one-owner 24/7 line with no answering layer. BBB: 0 complaints in 3 years. Indeed/LinkedIn Jobs: not retrievable (403). Logged null for D3.</t>
        </is>
      </c>
      <c r="AJ4" s="8" t="inlineStr">
        <is>
          <t>(1) Website rebuild and agency switch within the last ~5 months: Wayback 2026-05-14 shows the WordPress/US Brand Booster site; current site is a new Astro build on Stone Systems (© 2026, terms "Last updated: January 2026" template) - rebuild occurred between 2026-05-14 and 2026-10-14. (2) Review push: 6 Google reviews posted 2026-09-03 within ~55 minutes; 13 in 90 days. (3) Seasonal: Florida hurricane season runs through Nov 30 (vertical calendar, no business-specific post found).</t>
        </is>
      </c>
      <c r="AK4" s="8" t="inlineStr">
        <is>
          <t>(1) Website rebuilt in 2026 on a new vendor (Wayback 2026-05-14 = WordPress "Design by US Brand Booster"; today = Astro site on Stone Systems platform, (c) 2026) - https://web.archive.org/web/20260514135229/https://omegamold.com/ vs https://www.omegamold.com/. (2) Review velocity: 13 Google reviews in the last 90 days incl. 6 posted within one hour on 2026-09-03 (review-request campaign) - site feed. (3) Tech adoption: text-us chat widget, SMS opt-in consent, GHL-embedded lead form, FAQPage + LocalBusiness schema, robots.txt explicitly allowing GPTBot/ClaudeBot/PerplexityBot "keep visible for GEO / AI Overviews" - https://www.omegamold.com/robots.txt. (4) Owner answers personally: "Replies on his personal phone ... the second I'm free!" - https://www.omegamold.com/. Contradicting Overwhelmed read: reviews praise responsiveness ("was there every time I called him", Oct 2026).</t>
        </is>
      </c>
      <c r="AL4" s="8" t="inlineStr">
        <is>
          <t>Self-stated on the business's own pages: "more than 25 years of restoration and construction experience" and "he's on-site to make sure the work is done right" (https://www.omegamold.com/about). The 2022 version of the site (Wayback 2022-04-26) listed "State of Florida Licensed Insurance Adjuster W521423", "IICRC Certifed #95958 ASD,AMRT,WRT,CCT", "NORMI Member #13812", "Over 10,000 insurance claims worked", "Highly proficient in Xactimate estimating" - an insurance-claims/estimating background, which is why reviews say "He is great about working with other trades and insurance companies."</t>
        </is>
      </c>
      <c r="AM4" s="8" t="inlineStr">
        <is>
          <t>Tone: warm, straight-talking, first person. Site voice lines: "Licensed restoration built on honest answers"; "Ready to talk to someone who gives straight answers? Call (904) 614-3805 any time, day or night."; "This text goes straight to my personal phone. I will make sure to get back to you the second I'm free!" Customer voice: "Alex never hesitates to pick up the phone and call you" (Apr 2026 review); "incredibly quick to respond, professional, and genuinely seems to care about helping people" (Sep 2026). Brags: licensed + certified, honest recommendations, 24-hour response. No awards found.</t>
        </is>
      </c>
      <c r="AN4" s="8" t="inlineStr">
        <is>
          <t>Owner-operator</t>
        </is>
      </c>
      <c r="AO4" s="8" t="inlineStr">
        <is>
          <t>Not found (owner profile could not be X-rayed - web search budget exhausted this run). Company page: https://www.linkedin.com/company/omega-environmental-llc ("We Can Fix It", 2-10 employees, no people listed).</t>
        </is>
      </c>
      <c r="AP4" s="8" t="inlineStr">
        <is>
          <t>Facebook page https://www.facebook.com/Omegaenviromental (linked from the 2024 version of the site via Wayback; now behind a login wall and not linked from the current site). No Instagram/YouTube/TikTok links on the current site.</t>
        </is>
      </c>
      <c r="AQ4" s="8" t="inlineStr">
        <is>
          <t>https://www.omegamold.com</t>
        </is>
      </c>
      <c r="AR4" s="8" t="inlineStr">
        <is>
          <t>Not found (no info@/office@ on any current page; only alexkearson@gmail.com is published)</t>
        </is>
      </c>
      <c r="AS4" s="8" t="inlineStr">
        <is>
          <t>12816 Hood Landing Rd, Jacksonville, FL 32258 (site footer + JSON-LD + BBB + OpenCorporates head office/mailing address all agree)</t>
        </is>
      </c>
      <c r="AT4" s="8" t="inlineStr">
        <is>
          <t>32258</t>
        </is>
      </c>
      <c r="AU4" s="8" t="inlineStr">
        <is>
          <t>Jacksonville, Jacksonville Southside &amp; Mandarin, St. Augustine, Ponte Vedra, FL and "surrounding Northeast Florida" (JSON-LD areaServed + /about); FAQ: "We take select projects beyond our standard service radius for the right scope."</t>
        </is>
      </c>
      <c r="AV4" s="8" t="inlineStr">
        <is>
          <t>https://www.google.com/maps/place/?q=place_id:ChIJTVvAANfJ5YgRNk9icwx3Y7Y (place_id taken from the site's embedded map; GBP page itself returned no readable content)</t>
        </is>
      </c>
      <c r="AW4" s="8" t="inlineStr">
        <is>
          <t>4.9 (averageRating in the site's live Google-review feed, api.stonesystems.io/public-sites/reviews?placeId=ChIJTVvAANfJ5YgRNk9icwx3Y7Y, captured 2026-10-14)</t>
        </is>
      </c>
      <c r="AX4" s="8" t="inlineStr">
        <is>
          <t>99 total (same feed, 2026-10-14); 13 dated within the last 90 days (Jul 18 - Oct 6, 2026); 20 newest are all 5-star</t>
        </is>
      </c>
      <c r="AY4" s="8" t="inlineStr">
        <is>
          <t>2019 ("Alex Kearson founded Omega Environmental LLC in 2019" - https://www.omegamold.com/about; FL LLC L19000043250, status Active - https://opencorporates.com/companies/us_fl/L19000043250). Owner claims "25+ years of restoration and construction experience" (about page). Domain live on Wayback since 2022-04-26.</t>
        </is>
      </c>
      <c r="AZ4" s="8" t="inlineStr">
        <is>
          <t>2-10 employees (LinkedIn company page https://www.linkedin.com/company/omega-environmental-llc); reviews repeatedly say "Alex and his team"; site says "Alex or a certified team member inspects"</t>
        </is>
      </c>
      <c r="BA4" s="8" t="inlineStr">
        <is>
          <t>1 (single address on site, BBB, OpenCorporates; service areas Jacksonville, Southside/Mandarin, St. Augustine, Ponte Vedra)</t>
        </is>
      </c>
      <c r="BB4" s="8" t="inlineStr">
        <is>
          <t>Water damage restoration, emergency water extraction, flood damage restoration, structural drying, water damage inspection; mold assessment, mold inspection, mold remediation, post-remediation verification, moisture control (sitemap-0.xml). Florida Mold Assessor &amp; Remediator License #MRSR3247 (footer); older site also listed Mold Assessor MRSA2832, IICRC #95958 (ASD, AMRT, WRT, CCT), NORMI member, OSHA 30.</t>
        </is>
      </c>
      <c r="BC4" s="8" t="inlineStr">
        <is>
          <t>advanced (text-us widget posting to api.stonesystems.io, SMS consent, GHL iframe form, FAQPage/LocalBusiness JSON-LD, live Google-review feed; no online scheduler, no call tracking, no pixels/GTM)</t>
        </is>
      </c>
      <c r="BD4" s="8" t="inlineStr">
        <is>
          <t>agency_managed (Stone Systems - "Website Design &amp; Marketing Systems For Contractors", $297/mo bundle incl. Missed Call Text Back, review funnel, local SEO; prior agency US Brand Booster until at least May 2026)</t>
        </is>
      </c>
      <c r="BE4" s="8" t="inlineStr">
        <is>
          <t>established, trending toward scaling (founded 2019, 99 reviews, velocity rising, new site + review push in 2026)</t>
        </is>
      </c>
      <c r="BF4" s="8" t="inlineStr">
        <is>
          <t>unknown (owner replies are not exposed in the site's review feed and the GBP page could not be opened; Yelp 403)</t>
        </is>
      </c>
      <c r="BG4" s="8" t="inlineStr">
        <is>
          <t>Claims 24/7: "We answer 24 hours a day" (home), hours "Monday 24 hours ... Sunday 24 hours" (site Find Us block). No answering service, call center, or AI receptionist mentioned anywhere on site or in source; the text widget states messages go to the owner's personal phone and he replies "the second I'm free". Contact page sets an email promise of "We respond within 2 business hours." So after-hours coverage = the owner's own phone.</t>
        </is>
      </c>
      <c r="BH4" s="8" t="inlineStr">
        <is>
          <t>None. Site says "Stop by, call, or book online" but there is no scheduler; "Schedule a Free Inspection" is a lead form (data-submit-url https://api.stonesystems.io/public-forms/submit). No Calendly/Housecall/Jobber/ServiceTitan scripts in source.</t>
        </is>
      </c>
      <c r="BI4" s="8" t="inlineStr">
        <is>
          <t>Yes - custom "text us" chat panel ("Omega Environmental LLC - Replies on his personal phone") that POSTs name/phone/message to https://api.stonesystems.io/customers/websites/notify (source: 'chat_widget'); SMS consent: "By providing my phone number, I agree to receive text messages from the business."</t>
        </is>
      </c>
      <c r="BJ4" s="8" t="inlineStr">
        <is>
          <t>Stone Systems (stonesystems.io, brand of MVH Management Consultancy LLC) - site platform, forms, chat notify, review feed; GoHighLevel form embed (source comment "GHL iframe auto-resize via postMessage"); Astro v6.2.1 generator; Google Maps embed; Google Fonts. Email for omegamold.com hosted on Microsoft 365 (MX omegamold-com.mail.protection.outlook.com) though the published address is Gmail. Previous stack: WordPress/Elementor by US Brand Booster (to May 2026), GoDaddy Website Builder (2021-22). Not found: CallRail/CTM, GTM, Meta pixel, Podium/Birdeye, any AI-receptionist vendor.</t>
        </is>
      </c>
      <c r="BK4" s="8" t="inlineStr">
        <is>
          <t>Not checked - Google Ads Transparency Center, Meta Ad Library and the LSA unit could not be queried this run (web search budget exhausted; those pages need interactive search). No gclid/UTM/call-tracking or pixels in site source.</t>
        </is>
      </c>
      <c r="BL4" s="8" t="inlineStr">
        <is>
          <t>Not checked - no AI platform (ChatGPT/Perplexity/Gemini) could be queried this run, so D4 is NO EVIDENCE. Note for the audit: the site is already GEO-prepped (FAQPage + LocalBusiness JSON-LD; robots.txt allow-lists GPTBot, OAI-SearchBot, PerplexityBot, ClaudeBot, Google-Extended with the comment "keep visible for GEO / AI Overviews"), so even a 0-of-6 result would cap D4 at 6.</t>
        </is>
      </c>
      <c r="BM4" s="8" t="inlineStr">
        <is>
          <t>PASS. Not a chain/franchise (independent FL LLC, 1 location, owner-named). Working own-domain site (HTTP 200, new 2026 build). Live US business (OpenCorporates status Active; Google reviews dated Oct 2026; BBB A-). Inbound channels: phone, lead form, text widget. Not a competitor category. No competing AI phone agent found in site/source/reviews (Stone Systems supplies text-back and a review funnel, not voice). Not on suppression.csv or seen.csv (grepped omega/omegamold/kearson). GHL sub-account dedupe not run from this session - flag for Rozel.</t>
        </is>
      </c>
      <c r="BN4" s="8" t="inlineStr">
        <is>
          <t>D1 Decision-maker: 14/20 — Full name + role from business-controlled pages (About: "Alex Kearson founded..."; JSON-LD "Owner Alex Kearson") and BBB ("Alex Kearson, President"); published personal email alexkearson@gmail.com (footer, contact, JSON-LD) but it is free-mail not on the website domain and no secondary channel (owner LinkedIn/second phone) was confirmed, so 14 not 20. | D2 Phone gap: 15/15 — phone-first (number in header/hero/CTA/footer, tel: link); urgent niche (restoration); hours string "Monday 24 hours ... Sunday 24 hours"; gap proof "This text goes straight to my personal phone. I will make sure to get back to you the second I'm free!"; no answering service/AI receptionist anywhere on site or in source. | D3 Leak evidence: 0/15 — logged null: 20 newest Google reviews (site feed) contain no phone/response complaints and actively praise responsiveness; BBB 0 complaints; booking-friction signal fails because a text-us widget exists and the contact page promises "We respond within 2 business hours"; job posts not retrievable (Indeed 403); GBP reply rate not viewable. | D4 AI search gap: 0/10 — NO EVIDENCE: no AI platform could be queried this run; schema (FAQPage + LocalBusiness) present. | D5 ICP fit: 15/15 — independent FL LLC (Active, L19000043250), 1 location, named owner; niche on the pass list (restoration $3k-8k tickets per niche playbook); proxies: since 2019, 99 reviews with 13 in last 90 days, 2-10 staff (LinkedIn), 4-city service area + 24/7. | D6 Timing/spend: 11/15 — trigger: site rebuild + agency switch after 2026-05-14 (61-180 day window, exact launch date not pinned); spend group (d) agency platform in source (Stone Systems/GHL) and review tooling; paid media (a)(b)(c) not checkable. | D7 Attitude/stack: 6/10 — positives: modern 2026 site, tech adoption (text widget, SMS consent, schema), growth posture (new site, review push); no negatives seen; capped at 6 because a bundled contractor marketing platform (Stone Systems: website + Missed Call Text Back + review funnel + local SEO) is the incumbent. TOTAL 61 = QUALIFIED. Evidence on 6 of 7 dimensions (D4 missing); D1 positive; D2 direct quotes; D5 cited. Caveat: GHL 'E4L Services' dedupe (ghl-contacts.js) was not run from this session - Rozel to confirm before load; suppression.csv and seen.csv both clear.</t>
        </is>
      </c>
      <c r="BO4" s="8" t="inlineStr">
        <is>
          <t>https://www.omegamold.com/, https://www.omegamold.com/about, https://www.omegamold.com/contact, https://www.omegamold.com/robots.txt, https://api.stonesystems.io/public-sites/reviews?placeId=ChIJTVvAANfJ5YgRNk9icwx3Y7Y&amp;minStars=1&amp;limit=20, https://www.bbb.org/us/fl/jacksonville/profile/mold-testing/omega-environmental-0403-236028685, https://opencorporates.com/companies/us_fl/L19000043250, https://www.linkedin.com/company/omega-environmental-llc, https://web.archive.org/web/20260514135229/https://omegamold.com/, https://web.archive.org/web/20260210031536/https://omegamold.com/, https://web.archive.org/web/20220426130128/https://omegamold.com/, https://stonesystems.io/, https://www.omegamold.com/projects, https://www.omegamold.com/terms, https://www.omegamold.com/sitemap-0.xml, https://www.google.com/maps/place/?q=place_id:ChIJTVvAANfJ5YgRNk9icwx3Y7Y, https://dns.google/resolve?name=omegamold.com&amp;type=MX</t>
        </is>
      </c>
      <c r="BP4" s="8" t="inlineStr">
        <is>
          <t>High</t>
        </is>
      </c>
      <c r="BQ4" s="8" t="inlineStr">
        <is>
          <t>Title detail: Owner / Founder (site: "Owner Alex Kearson", "Alex Kearson founded Omega Environmental LLC in 2019"); "President" per BBB. 1) Email is a Gmail address published on his own site (Confirmed) - higher spam-filter risk; plain text, no links, under 90 words. 2) Incumbent: Stone Systems ($297/mo contractor bundle: website, Missed Call Text Back, review funnel, local SEO, GHL-based). Do not pitch text-back, website, or reviews - pitch the voice layer only, and a GEO audit as the add-on (site is already schema/robots-prepped for AI answers, so an audit result will be interesting either way). 3) His reviews praise his responsiveness - do not frame as "you're missing calls"; frame as capacity/relief while on-site and after midnight. 4) Not run this session: D4 AI spot-check, Google Ads/LSA/Meta Ad Library, Sunbiz/DBPR (403), Yelp/Indeed/Facebook (403/login), owner LinkedIn X-ray, GHL dedupe. Band is QUALIFIED (61), not SEND TODAY, until D4 is run and GHL dedupe is confirmed. 5) The old site listed alex@omegamold.com (Feb 2026 Wayback) and the domain has Microsoft 365 MX - it may be a live inbox, but it is on no current page: UNVERIFIED, do not send to it. 6) Florida calling rules: 8 AM–8 PM local; the line is probably his cell. 7) Demo script: Florida homes rarely have basements - use "burst pipe under the kitchen at 1 a.m." and have the agent collect address, cause, and insurance carrier (his background is insurance adjusting/Xactimate, he will notice if intake is sloppy).</t>
        </is>
      </c>
      <c r="BR4" s="10" t="inlineStr"/>
      <c r="BS4" s="10" t="inlineStr"/>
      <c r="BT4" s="10" t="inlineStr"/>
    </row>
    <row r="5" ht="120" customHeight="1">
      <c r="A5" s="8" t="inlineStr">
        <is>
          <t>20261013-04</t>
        </is>
      </c>
      <c r="B5" s="8" t="inlineStr">
        <is>
          <t>2026-10-13</t>
        </is>
      </c>
      <c r="C5" s="8" t="n">
        <v>2</v>
      </c>
      <c r="D5" s="10" t="inlineStr"/>
      <c r="E5" s="10" t="inlineStr">
        <is>
          <t>New</t>
        </is>
      </c>
      <c r="F5" s="8" t="n">
        <v>61</v>
      </c>
      <c r="G5" s="8">
        <f>IF(F5="","",IF(F5&gt;=80,"A — send today",IF(F5&gt;=60,"B — worth a touch",IF(F5&gt;=40,"C — hold","D — reject"))))</f>
        <v/>
      </c>
      <c r="H5" s="8" t="inlineStr">
        <is>
          <t>Meridian Roofing and Renovation</t>
        </is>
      </c>
      <c r="I5" s="8" t="inlineStr">
        <is>
          <t>Alex</t>
        </is>
      </c>
      <c r="J5" s="8" t="inlineStr">
        <is>
          <t>Beers</t>
        </is>
      </c>
      <c r="K5" s="8" t="inlineStr">
        <is>
          <t>Owner</t>
        </is>
      </c>
      <c r="L5" s="8" t="inlineStr">
        <is>
          <t>alex@buildmeridian.com</t>
        </is>
      </c>
      <c r="M5" s="8" t="inlineStr">
        <is>
          <t>Personal (named)</t>
        </is>
      </c>
      <c r="N5" s="8" t="inlineStr">
        <is>
          <t>Confirmed</t>
        </is>
      </c>
      <c r="O5" s="8" t="inlineStr">
        <is>
          <t>Not found (only the main line 314-952-4158 is published anywhere)</t>
        </is>
      </c>
      <c r="P5" s="8" t="inlineStr">
        <is>
          <t>+1 314-952-4158</t>
        </is>
      </c>
      <c r="Q5" s="8" t="inlineStr">
        <is>
          <t>Roofing (residential + commercial roofing, siding, gutters, storm restoration)</t>
        </is>
      </c>
      <c r="R5" s="8" t="inlineStr">
        <is>
          <t>core</t>
        </is>
      </c>
      <c r="S5" s="8" t="inlineStr">
        <is>
          <t>St. Louis (Olivette)</t>
        </is>
      </c>
      <c r="T5" s="8" t="inlineStr">
        <is>
          <t>MO</t>
        </is>
      </c>
      <c r="U5" s="8" t="inlineStr">
        <is>
          <t>They are visibly investing in growth right now (site pages edited within the last 10 days, blog and city pages built through 2026, Trustpilot claimed March 2026, HomeAdvisor and Thumbtack listings) which means more inbound calls landing on the same single line, and the site itself now advertises 24-hour emergency response that the posted 8-5 hours do not cover.</t>
        </is>
      </c>
      <c r="V5" s="8" t="inlineStr">
        <is>
          <t>Growth-Minded Operator (medium confidence; secondary: Overwhelmed Owner-Operator)</t>
        </is>
      </c>
      <c r="W5" s="8" t="inlineStr">
        <is>
          <t>Voice AI live demo line built from buildmeridian.com (phone-first, D2 = 15, site scrapable - demo_build = yes), paired with missed-call text-back; run the free GEO audit as the second touch since schema is already present.</t>
        </is>
      </c>
      <c r="X5" s="8" t="inlineStr">
        <is>
          <t>Recover</t>
        </is>
      </c>
      <c r="Y5" s="8" t="inlineStr">
        <is>
          <t>the 2-4 hour tarping promise on your site</t>
        </is>
      </c>
      <c r="Z5" s="8" t="inlineStr">
        <is>
          <t>Alex, your storm page promises tarping within 2 to 4 hours, and your contact page says Monday to Friday, 8 to 5, back to you within one business day - so who picks up when a Kirkwood roof opens on a Sunday night?</t>
        </is>
      </c>
      <c r="AA5" s="8" t="inlineStr">
        <is>
          <t>Missed-call / after-hours coverage. Meridian sells emergency response ('24-hour emergency response', 'emergency tarping within 2-4 hours') on a ~5-person, owner-run crew with one phone line, no chat or text, and posted hours of Mon-Fri 8-5. The storm-season caller who hits voicemail dials the next roofer. Offer the demo line trained on their own site so Alex can hear Meridian answered, qualified, and booked while he is on a roof; go-live is one conditional call-forwarding rule.</t>
        </is>
      </c>
      <c r="AB5" s="8" t="inlineStr">
        <is>
          <t>'We answer our own phones - customers like dealing with the owners, not salespeople' (a real brand point in their reviews). Response: that is exactly why it only takes the calls that already go to voicemail or ring out, after hours and mid-job; nothing changes for the calls Alex and Leah already pick up, and the caller still reaches 'Meridian', trained on their own story.</t>
        </is>
      </c>
      <c r="AC5" s="8" t="inlineStr">
        <is>
          <t>Hi, is this Alex? Alex, this is Sam with Eat 4 Life Marketing - this is a cold call, so I'll be quick. I was on buildmeridian.com and saw you promise emergency tarping within two to four hours, but your contact page shows Monday through Friday, eight to five. We build an AI receptionist trained on your own site that picks up the calls that hit voicemail while you're on a roof, qualifies the homeowner, and books the inspection - and you can call the demo line and hear Meridian answered before you pay a dollar. Can I take twenty seconds to tell you how it works, and then you tell me if it's worth a look?</t>
        </is>
      </c>
      <c r="AD5" s="8" t="inlineStr">
        <is>
          <t>Tue-Thu 7:30-8:15 AM CT, before crews roll (the aggregator lists a 6 AM open, so the owners are up and the office is quiet); fallback 4:15-5:00 PM CT Tue-Thu inside the posted 8-5 window. Reviews say customers deal 'with the Owners and not salespeople', so the main line most likely reaches Alex or Leah directly.</t>
        </is>
      </c>
      <c r="AE5" s="8" t="inlineStr">
        <is>
          <t>Contact page: Mon-Fri 8:00 AM-5:00 PM, Sat by appointment, Sun closed (https://buildmeridian.com/contact/). CONFLICT: site JSON-LD says Mon-Sun 06:00-21:00 and the Birdeye/Google aggregator shows 6:00 AM-8:00 PM Mon-Sun; storm page claims '24-hour emergency response'. Re-verify on GBP.</t>
        </is>
      </c>
      <c r="AF5" s="8" t="inlineStr">
        <is>
          <t>America/Chicago (Central Time)</t>
        </is>
      </c>
      <c r="AG5" s="8" t="inlineStr">
        <is>
          <t>No office manager or dispatcher named anywhere public. Reviews indicate the owners handle customers directly ('Loved dealing with the Owners and not salespeople'); a second person, 'Leah', is thanked in two reviews ('Alex and Leah were great to work with', 'Thank you, Leah and team') - role not published, so if Leah answers, treat her as a decision-maker, not a gatekeeper. No answering service, IVR, or AI detected; Sam should record who answers (human/voicemail) on the first dial. Owner cell not published; the only line is +1 314-952-4158. Email is Alex's own mailbox (alex@buildmeridian.com), so Sebastian's email goes straight to him.</t>
        </is>
      </c>
      <c r="AH5" s="8" t="inlineStr">
        <is>
          <t>The site's own contradiction: the storm-damage page promises '24-hour emergency response' and 'emergency tarping within 2-4 hours' (https://buildmeridian.com/services/storm-damage-roofing-st-louis-mo/) while the contact page lists Mon-Fri 8-5, Sat by appointment, Sun closed and says 'We typically respond within one business day' (https://buildmeridian.com/contact/). Secondary: the site is being actively rebuilt - 100 pages, several modified 2026-10-05 to 2026-10-13, blog posts Mar-May 2026 (WP REST API).</t>
        </is>
      </c>
      <c r="AI5" s="8" t="inlineStr">
        <is>
          <t>(1) Promise/coverage gap on their own site: '24-hour emergency response' and 'emergency tarping and board-up services within 2-4 hours' (storm-damage page) vs. posted hours 'Monday - Friday: 8:00 AM - 5:00 PM / Saturday: By appointment / Sunday: Closed' and 'We typically respond within one business day' (contact page). (2) Owner's personal mailbox is the only inbound email, and only one phone line - a ~5-person crew with no chat, text, booking calendar, or answering service. (3) Null logged: no responsiveness complaints in the 5 visible Birdeye reviews or the site-embedded Google reviews (they praise 'Very responsive' and 'always available to answer questions'); 0 BBB complaints in 3 years; Indeed/Yelp/GBP reply rate/job boards not checked (403 or search budget).</t>
        </is>
      </c>
      <c r="AJ5" s="8" t="inlineStr">
        <is>
          <t>Active website build-out: homepage created 2024-09-20, ~100 pages with modifications dated 2026-10-05 through 2026-10-13, blog posts published 2026-03-10 to 2026-05-28 (WP REST API); new logo file uploaded 2026/03; Trustpilot profile claimed March 2026. Roofing storm-season references on site (April 2024 derecho). No receptionist/CSR job post found (Indeed blocked, search unavailable - log as not checked). No negative trigger found.</t>
        </is>
      </c>
      <c r="AK5" s="8" t="inlineStr">
        <is>
          <t>(1) Website invests in growth: ~100 pages incl. 25 city/service-area pages, blog posts dated 2026-03-10 to 2026-05-28, pages modified as recently as 2026-10-13, copyright 2026, FAQPage + RoofingContractor schema, financing offered, GTM installed (https://buildmeridian.com, https://buildmeridian.com/wp-json/wp/v2/posts). (2) Tech adoption: Instant Roofer instant-estimate widget (book.instantroofer.com) on /instant-estimate/, Trustindex review widget, SMS consent language on the estimate form (https://buildmeridian.com/instant-estimate/, https://buildmeridian.com/contact/). (3) Reputation investment: Trustpilot profile claimed March 2026; five manufacturer credentials; BBB A+ accredited since 2018 (https://au.trustpilot.com/review/buildmeridian.com, BBB). (4) Review velocity: 5 visible Google reviews dated within ~2 months as of 2026-10-14 (https://reviews.birdeye.com/meridian-roofing-and-renovation-164648869187903). Overwhelmed secondary: owners personally run jobs ('dealing with the Owners and not salespeople'), ~5 staff, owner's own email is the contact mailbox, 'respond within one business day' promise. No defensive or anti-marketing signal found. Owner review-reply behavior could not be observed (GBP not opened; Birdeye profile unclaimed).</t>
        </is>
      </c>
      <c r="AL5" s="8" t="inlineStr">
        <is>
          <t>CONFIRMED: 'Alex Beers, Owner of Meridian Roofing and Renovation' on the company's own storm-damage page (https://buildmeridian.com/services/storm-damage-roofing-st-louis-mo/); BBB principal 'Mr. Alex V. Beers, Owner'; Trustpilot 'Founded by Alex Beers' (profile claimed March 2026). Business self-describes as 'family-owned and operated' (homepage) and holds Owens Corning Platinum Preferred, James Hardie Preferred Remodeler, GAF Certified, LP SmartSide Certified, CertainTeed Credentialed Installer (site JSON-LD). Prior career, trade school, military: Not found.</t>
        </is>
      </c>
      <c r="AM5" s="8" t="inlineStr">
        <is>
          <t>OBSERVED: direct-with-the-owner brand - reviews say 'Loved dealing with the Owners and not salespeople' and 'Alex and Leah were great to work with' (Birdeye / site-embedded Google reviews); warm-professional site copy ('we are a family-owned and operated business committed to...', 'Feel free to reach out to us anytime. We're here to help!'); puts his own first-name email on the homepage; invests in credentials and insurance-claim expertise (names State Farm, Shelter, American Family, Allstate, USAA on the storm page). Tone label: warm_personal / professional. Second named person: 'Leah' (appears in 2+ reviews, role not published).</t>
        </is>
      </c>
      <c r="AN5" s="8" t="inlineStr">
        <is>
          <t>Owner-operator</t>
        </is>
      </c>
      <c r="AO5" s="8" t="inlineStr">
        <is>
          <t>Not found (web search budget exhausted this run before the LinkedIn X-ray could run; no LinkedIn href on the site)</t>
        </is>
      </c>
      <c r="AP5" s="8" t="inlineStr">
        <is>
          <t>Company only: instagram.com/buildmeridian (43 followers per IG meta tag, 2026-10-14); facebook.com/people/Meridian-Roofing-and-Renovation/61561644232120/ (content not retrievable logged-out). No owner-personal social found.</t>
        </is>
      </c>
      <c r="AQ5" s="8" t="inlineStr">
        <is>
          <t>https://buildmeridian.com</t>
        </is>
      </c>
      <c r="AR5" s="8" t="inlineStr">
        <is>
          <t>Not found (no info@/office@ anywhere; the only published mailbox is alex@buildmeridian.com)</t>
        </is>
      </c>
      <c r="AS5" s="8" t="inlineStr">
        <is>
          <t>9715 Olive Blvd, St. Louis, MO 63132 (site contact page, JSON-LD, BBB, Trustpilot all agree; Birdeye aggregator shows an older address, 815 Swarthmore Ln, St. Louis 63130)</t>
        </is>
      </c>
      <c r="AT5" s="8" t="inlineStr">
        <is>
          <t>63132</t>
        </is>
      </c>
      <c r="AU5" s="8" t="inlineStr">
        <is>
          <t>St. Louis City, St. Louis County, St. Charles County (plus Jefferson and Franklin Counties per Trustpilot description); JSON-LD areaServed lists 25 municipalities incl. Alton IL; site has ~100 service-area/city pages</t>
        </is>
      </c>
      <c r="AV5" s="8" t="inlineStr">
        <is>
          <t>https://maps.google.com/?cid=4963942099661408695 (CID derived from the Google Maps embed on https://buildmeridian.com/instant-estimate/; GBP itself was not opened this run)</t>
        </is>
      </c>
      <c r="AW5" s="8" t="inlineStr">
        <is>
          <t>4.9 on Google per Birdeye aggregator (site JSON-LD claims 5.0); GBP not opened directly, re-check</t>
        </is>
      </c>
      <c r="AX5" s="8" t="inlineStr">
        <is>
          <t>48 Google reviews per Birdeye aggregator (site Product schema claims reviewCount 79; BBB 0 reviews; Trustpilot 0 reviews)</t>
        </is>
      </c>
      <c r="AY5" s="8" t="inlineStr">
        <is>
          <t>BBB 'Business Started' 2017-08-01; BBB Accredited since 2018-03-23; domain registered 2017-12-13 (RDAP); site JSON-LD says 'more than 15 years of experience' (experience claim, not entity age); Thumbtack (scout) said 11 years in business. CONFLICT flag: 2017 entity vs '15 years' experience claim; use 'since 2017' only.</t>
        </is>
      </c>
      <c r="AZ5" s="8" t="inlineStr">
        <is>
          <t>About 5 employees (Thumbtack, per scout; page could not be re-fetched this run); BBB lists no headcount; reviews reference 'Alex and his team' and 'Leah and team'</t>
        </is>
      </c>
      <c r="BA5" s="8" t="inlineStr">
        <is>
          <t>1 (single address on site, BBB, Trustpilot; no locations page)</t>
        </is>
      </c>
      <c r="BB5" s="8" t="inlineStr">
        <is>
          <t>Roof repair, roof replacement, roof inspection, storm damage restoration, emergency tarping/board-up, shingle/flat (TPO)/metal roofing, commercial roofing, James Hardie / LP SmartSide / vinyl siding, siding repair, seamless gutters, insurance claim assistance, financing offered</t>
        </is>
      </c>
      <c r="BC5" s="8" t="inlineStr">
        <is>
          <t>modern - SSL, WordPress/Elementor/Astra, Instant Roofer online estimate widget, Trustindex Google-review widget, GTM + gtag, FAQPage/RoofingContractor/Service/Product JSON-LD, financing offered, SMS consent on forms; no chat, no text-us, no booking calendar, no call tracking</t>
        </is>
      </c>
      <c r="BD5" s="8" t="inlineStr">
        <is>
          <t>diy / unknown - no agency footer credit; Site Kit by Google + Elementor suggests owner- or freelancer-built; heavy programmatic local-SEO pages and 2026 blog indicate someone is working the site; paid ads not checked this run</t>
        </is>
      </c>
      <c r="BE5" s="8" t="inlineStr">
        <is>
          <t>established (since 2017, BBB A+, 48+ Google reviews with recent velocity, 5 manufacturer credentials, 5-county service area, active site expansion in 2026)</t>
        </is>
      </c>
      <c r="BF5" s="8" t="inlineStr">
        <is>
          <t>unknown - Birdeye aggregator shows no owner replies but the profile is unclaimed; Google Business Profile reply rate not observed this run (re-check before send)</t>
        </is>
      </c>
      <c r="BG5" s="8" t="inlineStr">
        <is>
          <t>Not stated anywhere. Site advertises '24-hour emergency response' and 'Call 314-952-4158 For Emergency Service' (storm page) but the contact page posts Mon-Fri 8-5 / Sun closed and 'We typically respond within one business day'; no answering service, call center, or AI receptionist mentioned on site, BBB, Birdeye, or in page source.</t>
        </is>
      </c>
      <c r="BH5" s="8" t="inlineStr">
        <is>
          <t>No scheduling calendar. An Instant Roofer online estimate widget (book.instantroofer.com, product=estimate) is embedded on /instant-estimate/; contact and estimate forms with 'within one business day' response promise and reCAPTCHA.</t>
        </is>
      </c>
      <c r="BI5" s="8" t="inlineStr">
        <is>
          <t>None - no chat, text-us, or messaging widget in page source (checked for tidio, intercom, tawk, podium, birdeye, textline, livechat, leadconnector). Forms carry SMS-consent language only.</t>
        </is>
      </c>
      <c r="BJ5" s="8" t="inlineStr">
        <is>
          <t>WordPress 6.9.10, Elementor 4.3.3, Astra theme, Site Kit by Google, LiteSpeed cache, Google Tag Manager + gtag, Google reCAPTCHA, Instant Roofer (book.instantroofer.com), Trustindex review widget, Google Workspace mail (MX = ASPMX.L.GOOGLE.com). Listed on HomeAdvisor (sameAs in JSON-LD), Thumbtack, BBB, Trustpilot. No CallRail/CTM, no Meta pixel, no agency credit.</t>
        </is>
      </c>
      <c r="BK5" s="8" t="inlineStr">
        <is>
          <t>not checked - Google Ads Transparency Center, LSA unit, and Meta Ad Library require a search/JS session that was unavailable this run; page source shows GTM/gtag only, no Meta pixel, no call-tracking swap</t>
        </is>
      </c>
      <c r="BL5" s="8" t="inlineStr">
        <is>
          <t>not checked - web search budget was exhausted before the money-question spot-check could run; site already carries FAQPage + RoofingContractor JSON-LD, so D4 would cap at 6 even if named in 0 answers</t>
        </is>
      </c>
      <c r="BM5" s="8" t="inlineStr">
        <is>
          <t>PASS - independent single-location family-owned business (no franchise/PE language, 1 address); working own-domain site; live US business (BBB A+ active, reviews within 2 weeks, site edited 2026-10-13); phone + forms present; not a competitor category; no AI receptionist or answering vendor detected; not on suppression.csv or seen.csv (grep 'meridian'/'buildmeridian' = 0 hits). GHL 'E4L Services' dedupe not run from this environment - flag for Rozel.</t>
        </is>
      </c>
      <c r="BN5" s="8" t="inlineStr">
        <is>
          <t>D1 Decision-maker reach: 14/20 - full name + 'Owner' cited on own site (storm page), BBB principal, Trustpilot; personal-pattern email alex@buildmeridian.com published on homepage/contact/FAQ with MX present; no secondary channel (no owner LinkedIn, no second phone) so 20 not met. | D2 Phone coverage gap: 15/15 - phone-first (tel link x5 in header/hero/footer, CTA 'Call Us For A Free Inspection'), roofing is inherently urgent, site claims '24-hour emergency response' while contact page posts Mon-Fri 8-5 / Sun closed and 'respond within one business day'; no answering service or AI mentioned anywhere. | D3 Lead-response leak: 0/15 - logged null: visible reviews praise responsiveness, 0 BBB complaints, contact form carries a response-time promise, online estimate tool present; job boards, GBP reply rate, Yelp not checkable this run (partial null). | D4 AI search gap: 0/10 - NO EVIDENCE: spot-check not run (search budget); FAQPage + RoofingContractor schema present. | D5 ICP fit / ability to pay: 15/15 - family-owned, single location, named owner, core roofing niche; proxies: since 2017 (BBB), 48 Google reviews with 5 in ~60 days (Birdeye), roofing ticket $8-15k + financing offered, 5-county service area + 24-hour emergency claim, five manufacturer credentials. | D6 Timing + spend: 7/15 - no dated trigger within 60 days beyond ongoing site edits (Oct 2026); spend groups (d) GTM/gtag and (e) HomeAdvisor + Thumbtack listings, Instant Roofer and Trustindex tools; Google Ads/LSA/Meta not checked. | D7 Owner attitude: 10/10 - net 3 positives (modern 2026 site actively updated; tech adopted: instant-estimate widget, financing, schema, SMS consent; growth posture: 25-city pages, credentials, Trustpilot claimed 2026), no negatives, no incumbent agency. TOTAL 61 - QUALIFIED. Status: TRUSTED (5 dimensions with evidence incl. D1 positive, D2 direct, D5); not SEND TODAY because the D4 spot-check was not run. Dedupe: clear on suppression.csv and seen.csv; GHL sub-account dedupe not run from this environment.</t>
        </is>
      </c>
      <c r="BO5" s="8" t="inlineStr">
        <is>
          <t>https://buildmeridian.com/services/storm-damage-roofing-st-louis-mo/, https://buildmeridian.com/contact/, https://buildmeridian.com, https://www.bbb.org/us/mo/saint-louis/profile/roofing-contractors/meridian-roofing-and-renovation-0734-1000003991, https://au.trustpilot.com/review/buildmeridian.com, https://reviews.birdeye.com/meridian-roofing-and-renovation-164648869187903, https://buildmeridian.com/faq/, https://buildmeridian.com/instant-estimate/, https://buildmeridian.com/wp-json/wp/v2/posts?per_page=8&amp;_fields=date,modified,link, https://buildmeridian.com/wp-json/wp/v2/pages?per_page=100&amp;_fields=date,modified,link&amp;orderby=modified, https://rdap.org/domain/buildmeridian.com, https://dns.google/resolve?name=buildmeridian.com&amp;type=MX, https://www.instagram.com/buildmeridian/, https://www.facebook.com/people/Meridian-Roofing-and-Renovation/61561644232120/, https://www.homeadvisor.com/rated.MeridianRoofingand.58449452.html, https://next-www.thumbtack.com/mo/saint-louis/roofing/meridian-roofing-renovation/service/319581211068752113, https://www.gaf.com/en-us/roofing-contractors/residential/usa/mo/st-louis/meridian-roofing-and-renovation-1150738, https://opencorporates.com/companies/us_mo/LC001553748</t>
        </is>
      </c>
      <c r="BP5" s="8" t="inlineStr">
        <is>
          <t>Medium</t>
        </is>
      </c>
      <c r="BQ5" s="8" t="inlineStr">
        <is>
          <t>1) Strongest, safest opener is their own site's hours-vs-emergency contradiction - no reviewer gets quoted. VERIFIER NOTE: the storm page is itself inconsistent - it says 'emergency tarping and board-up services within 2-4 hours' in one section and 'emergency tarping within 24 hours' in the Wind Damage section; both quotes are real, but if Alex pushes back with 'the page says 24 hours', Sam should pivot to the '24-hour emergency response' line vs. the posted Mon-Fri 8-5 / Sun closed hours, which is the contradiction that holds either way. 2) The '15 years of experience' line in the site schema conflicts with the 2017 BBB start; say 'since 2017' only. 3) An OpenCorporates hit 'Meridian Roofing and Restoration LLC' (Articles of Organization 2017-08-31, Kansas City registered-agent address) may be the entity but the name differs ('Restoration' vs 'Renovation') and officers are gated - unconfirmed, do not cite. 4) Gaps this run: D4 AI spot-check, ads/LSA/Meta, GBP reply rate, Indeed, and owner LinkedIn were not checked (search budget exhausted, directories returned 403); Rozel should run the GEO spot-check and open the GBP before promoting to SEND TODAY. 5) Never pitch this as replacing Alex or Leah on the phone - their reviews prize owner contact; frame as overflow/after-hours only. 6) Site already has FAQPage schema, so lead with voice demo, not the AI-readable-site pitch. 7) Birdeye and the site show an older address (815 Swarthmore Ln) in some places; use 9715 Olive Blvd. 8) Verifier could not locate the review quote 'Alex and Leah were great to work with' on Birdeye (only 'Thank you, Leah and team' and 'Loved dealing with the Owners and not salespeople' were found); do not quote the Alex-and-Leah line.</t>
        </is>
      </c>
      <c r="BR5" s="10" t="inlineStr"/>
      <c r="BS5" s="10" t="inlineStr"/>
      <c r="BT5" s="10" t="inlineStr"/>
    </row>
    <row r="6" ht="120" customHeight="1">
      <c r="A6" s="8" t="inlineStr">
        <is>
          <t>20261013-05</t>
        </is>
      </c>
      <c r="B6" s="8" t="inlineStr">
        <is>
          <t>2026-10-13</t>
        </is>
      </c>
      <c r="C6" s="8" t="n">
        <v>2</v>
      </c>
      <c r="D6" s="10" t="inlineStr"/>
      <c r="E6" s="10" t="inlineStr">
        <is>
          <t>New</t>
        </is>
      </c>
      <c r="F6" s="8" t="n">
        <v>60</v>
      </c>
      <c r="G6" s="8">
        <f>IF(F6="","",IF(F6&gt;=80,"A — send today",IF(F6&gt;=60,"B — worth a touch",IF(F6&gt;=40,"C — hold","D — reject"))))</f>
        <v/>
      </c>
      <c r="H6" s="8" t="inlineStr">
        <is>
          <t>Fisher HVAC</t>
        </is>
      </c>
      <c r="I6" s="8" t="inlineStr">
        <is>
          <t>Brian</t>
        </is>
      </c>
      <c r="J6" s="8" t="inlineStr">
        <is>
          <t>Fisher</t>
        </is>
      </c>
      <c r="K6" s="8" t="inlineStr">
        <is>
          <t>Owner</t>
        </is>
      </c>
      <c r="L6" s="8" t="inlineStr">
        <is>
          <t>fisherhvac1@gmail.com</t>
        </is>
      </c>
      <c r="M6" s="8" t="inlineStr">
        <is>
          <t>Generic (info@/office@)</t>
        </is>
      </c>
      <c r="N6" s="8" t="inlineStr">
        <is>
          <t>Confirmed</t>
        </is>
      </c>
      <c r="O6" s="8" t="inlineStr">
        <is>
          <t>Not found (only number anywhere is the main line +1 801-448-1956; reviews indicate Brian answers it himself)</t>
        </is>
      </c>
      <c r="P6" s="8" t="inlineStr">
        <is>
          <t>+1 801-448-1956</t>
        </is>
      </c>
      <c r="Q6" s="8" t="inlineStr">
        <is>
          <t>HVAC (residential + light commercial heating, cooling, furnace repair/install)</t>
        </is>
      </c>
      <c r="R6" s="8" t="inlineStr">
        <is>
          <t>core</t>
        </is>
      </c>
      <c r="S6" s="8" t="inlineStr">
        <is>
          <t>Salt Lake City</t>
        </is>
      </c>
      <c r="T6" s="8" t="inlineStr">
        <is>
          <t>UT</t>
        </is>
      </c>
      <c r="U6" s="8" t="inlineStr">
        <is>
          <t>(1) The site was rebuilt four weeks ago (sitemap lastmod 2026-09-16) and makes a 24/7 promise the Contact page itself walks back ("Call us during business hours for the fastest service"). (2) Salt Lake City first-freeze/furnace season is opening now and the site is marketing furnace repair and $59 tune-ups for it — the after-hours no-heat calls start in the next few weeks. (3) GBP is still unclaimed, so there is a concrete, free thing to help with on the first call.</t>
        </is>
      </c>
      <c r="V6" s="8" t="inlineStr">
        <is>
          <t>Overwhelmed Owner-Operator (medium confidence; secondary: Growth-Minded Operator on the new-site + financing signals). Caveat: reviews currently PRAISE responsiveness, so the pitch is coverage for the calls he physically cannot take, not "you're missing calls".</t>
        </is>
      </c>
      <c r="W6" s="8" t="inlineStr">
        <is>
          <t>Voice AI live demo line built from fisherhvacslc.com, framed as after-hours/on-the-job overflow for first-freeze furnace calls (never as replacing Brian on the phone) + missed-call text-back. Door-opener: demo number. demo_build = yes (D2 = 15, site scrapable). run_geo_audit = not yet — run the 3 HVAC money questions first, then offer the free audit as ask #2.</t>
        </is>
      </c>
      <c r="X6" s="8" t="inlineStr">
        <is>
          <t>Recover (per matrix). Internal note: shop looks small (owner answers the line himself) — if budget pushback, the à la carte solo voice agent is the realistic first step; no prices in any copy.</t>
        </is>
      </c>
      <c r="Y6" s="8" t="inlineStr">
        <is>
          <t>Brian — the 24/7 line on your new site</t>
        </is>
      </c>
      <c r="Z6" s="8" t="inlineStr">
        <is>
          <t>Your rebuilt site (nice work last month) puts "24/7 Emergency Service" right in the header, while Google still shows Fisher HVAC closed nights and weekends.</t>
        </is>
      </c>
      <c r="AA6" s="8" t="inlineStr">
        <is>
          <t>Relief, not growth. Your reviews say Brian picks up the phone himself — and he can't while he's under a furnace at 7pm in November. We built a receptionist trained on fisherhvacslc.com that answers the no-heat calls that already ring out, gets name/number/problem/urgency, books the visit, and texts back every missed call in under a minute. Go-live is one conditional call-forwarding rule for missed/busy calls; rollback is one dial code. Hear it before you pay a dollar: [demo number]. Bonus value on the call: his Google listing is still unclaimed — point it out, it costs nothing and proves we looked.</t>
        </is>
      </c>
      <c r="AB6" s="8" t="inlineStr">
        <is>
          <t>"I answer my own phone — it's just me and a couple guys, I don't need that." Response: that is exactly why it fits — it only takes the calls that already go to voicemail when you're on a job or after 5, you still answer everything you can, and nothing changes on your end except a forwarding rule you can turn off with one dial code. Secondary objections: small-shop budget (steer to Game Plan Call, no numbers on the phone) and veteran directness/skepticism of "marketing guys" (lead with the demo number, zero hype, no promised results).</t>
        </is>
      </c>
      <c r="AC6" s="8" t="inlineStr">
        <is>
          <t>"Hi Brian, this is Sam with Eat 4 Life Marketing — this is a cold call, so feel free to hang up on me. I was on your new site last week and the 24/7 Emergency banner stood out, because Google still shows you closed after five and on weekends. We build a phone receptionist trained on your own company that picks up the no-heat calls that ring out while you're on a job, books them, and texts back every missed call — and we build you a demo line you can call before you pay a dollar. Can I take 20 seconds to tell you how it works, and you tell me if it's worth a 20-minute call with Sebastian?"</t>
        </is>
      </c>
      <c r="AD6" s="8" t="inlineStr">
        <is>
          <t>Tue–Thu 7:45–8:30 AM MT, right at opening before he heads to the first job — reviews say Brian personally answers the line ("Brian answered the call") and is on jobs during the day, so first thing is the window; backup 4:15–5:00 PM MT. Mid-October is furnace season in SLC, so keep it to the 20-second ask.</t>
        </is>
      </c>
      <c r="AE6" s="8" t="inlineStr">
        <is>
          <t>Monday–Friday 8:00 AM–5:00 PM (site footer and Contact page); GBP mirror: "Monday through Friday, 8 AM–5 PM. Saturday and Sunday are listed as Closed." Site also advertises "24/7 Emergency Service" (header/footer/homepage emergency box).</t>
        </is>
      </c>
      <c r="AF6" s="8" t="inlineStr">
        <is>
          <t>America/Denver — Mountain Time (MDT through Nov 1, 2026; UTC-6)</t>
        </is>
      </c>
      <c r="AG6" s="8" t="inlineStr">
        <is>
          <t>No gatekeeper identified. Reviews indicate Brian answers the main line himself ("Brian answered the call" — https://fisherhvacslc.com/reviews/). Jodi is named on the About page as co-founder ("Brian and Jodi decided to create a business") and may also pick up — treat as a co-decision-maker, not a gatekeeper. No office manager, dispatcher, or answering service found on the site, GBP mirror, or page source. If voicemail: it is likely Brian's own box; leave the demo number and the 20-second version. Main line is a business line per site/GBP; line type not checked — treat as human-dial only.</t>
        </is>
      </c>
      <c r="AH6" s="8" t="inlineStr">
        <is>
          <t>The brand-new website (rebuilt Sept 10–16, 2026 per sitemap lastmod; 78 image assets dated /uploads/2026/09/) that puts "24/7 Emergency Service" in the header while the Contact page says "Call us during business hours for the fastest service" and Google still shows Mon–Fri 8–5, weekends closed. Safe, recent, specific, and about his phone process — not about a complaint.</t>
        </is>
      </c>
      <c r="AI6" s="8" t="inlineStr">
        <is>
          <t>Structural, not complaint-based. (a) "24/7 Emergency Service" (header, footer) vs. Contact page "Call us during business hours for the fastest service" and email "We typically respond within 1 business day" (https://fisherhvacslc.com/contact/). (b) GBP: "Monday through Friday 8 AM–5 PM, Saturday and Sunday Closed" and "Unclaimed. Not yet verified by business" (https://serviceagent.ai/directory/new-york/salt-lake-city-ut/hvac/fisher-hvac/). (c) Owner answers the phone personally while also running jobs — reviews: "Brian answered the call... called 30 minutes before arrival... He even called back 30 minutes later" (https://fisherhvacslc.com/reviews/). (d) No booking, chat, or text channel; single phone number; no social presence linked. NOTE: no reachability complaints found; reviews praise communication — do not open with "missed calls you're losing".</t>
        </is>
      </c>
      <c r="AJ6" s="8" t="inlineStr">
        <is>
          <t>(1) New website: all pages lastmod 2026-09-10 to 2026-09-16 (https://fisherhvacslc.com/page-sitemap1.xml); 78 image assets under /wp-content/uploads/2026/09/ — ~4 weeks old. (2) Seasonal: first-freeze/furnace season opening now in Salt Lake City; the site actively markets it ("From Utah's cold winter mornings...", furnace repair/install, $59 tune-up). (3) GBP still unclaimed as of the mirror capture — a free value-add to mention. No hiring, award, or ownership-change triggers found (Indeed/ZipRecruiter/LinkedIn not reachable this run).</t>
        </is>
      </c>
      <c r="AK6" s="8" t="inlineStr">
        <is>
          <t>(1) Owner is the receptionist and the tech — reviews: "Brian answered the call, quoted a reasonable price, called 30 minutes before arrival"; "Brian is my go to HVAC human"; "Brian came to clean our cooling coil" (https://fisherhvacslc.com/reviews/). (2) Site: single phone CTA, no booking widget, no chat, no text-us, no social links; only form is a Gravity Forms contact form (page source https://fisherhvacslc.com/contact/). (3) GBP unclaimed, Mon–Fri 8–5, weekends closed (https://serviceagent.ai/directory/new-york/salt-lake-city-ut/hvac/fisher-hvac/) vs. "24/7 Emergency Service" on the site. (4) Contact page: "Call us during business hours for the fastest service" and "We typically respond within 1 business day" (https://fisherhvacslc.com/contact/). Growth signals: full site rebuild Sept 2026, "Financing Available", $59 tune-up offer. Contradiction logged: reviews praise communication ("Communication was terrific", "Brian responded very quickly"); no reachability complaints found on the site's review feed.</t>
        </is>
      </c>
      <c r="AL6" s="8" t="inlineStr">
        <is>
          <t>Self-stated on the company site: U.S. Navy, 12 years, "including service aboard the USS Nimitz"; after the Navy "he worked for several companies whose values and approach did not reflect the standards he believed customers deserved" and founded Fisher HVAC in 2012 with Jodi (named co-founder on the About page); 35+ years HVAC experience; offers a 10% service-member discount (https://fisherhvacslc.com/about/). Veteran-owned directory listing (veteranownedbusiness.com/business/32831/fisher-hvac) corroborates "Navy" per scout snippet; direct fetch returned 403.</t>
        </is>
      </c>
      <c r="AM6" s="8" t="inlineStr">
        <is>
          <t>Tone: direct, values-forward, anti-upsell. Verbatim site lines: "Life Should Be Comfortable."; "We stick to what we know best."; "Local Service. Straight Answers. Lasting Comfort."; "No Corners Cut"; "Honesty &amp; Integrity"; "Respect • Integrity • Trust". Customers echo it: "100% honest quality work. He will tell you how it is"; "Avoid those big companies like One Stop who overcharged us"; "They may not be the cheapest company, but they are local, reliable, and trustworthy" (https://fisherhvacslc.com/reviews/). Brags: veteran owned, licensed and insured, services all makes and models, free estimates on new systems. Read: a hands-on tradesman who prizes straight talk — give him specifics and a number to call, no hype.</t>
        </is>
      </c>
      <c r="AN6" s="8" t="inlineStr">
        <is>
          <t>Owner-operator</t>
        </is>
      </c>
      <c r="AO6" s="8" t="inlineStr">
        <is>
          <t>Not found (LinkedIn X-ray could not be run — search budget exhausted this turn; site has no LinkedIn link)</t>
        </is>
      </c>
      <c r="AP6" s="8" t="inlineStr">
        <is>
          <t>Not found — the site carries zero social links (no Facebook/Instagram/LinkedIn hrefs in page source). A Facebook page slug facebook.com/fisherhvacslc exists but returned a login wall; expertise.com reports Facebook 5.0 (11 reviews). Not verified.</t>
        </is>
      </c>
      <c r="AQ6" s="8" t="inlineStr">
        <is>
          <t>https://fisherhvacslc.com</t>
        </is>
      </c>
      <c r="AR6" s="8" t="inlineStr">
        <is>
          <t>fisherhvac1@gmail.com (mailto: link on every page of fisherhvacslc.com; free-mail business inbox)</t>
        </is>
      </c>
      <c r="AS6" s="8" t="inlineStr">
        <is>
          <t>Not published on site or GBP mirror (site footer reads only "Salt Lake City, Utah"). Utah LLC registered address per OpenCorporates: 2628 South 600 East, Salt Lake City, UT 84106 (https://opencorporates.com/companies/us_ut/8512302-0160) — registration address only, do not treat as a storefront.</t>
        </is>
      </c>
      <c r="AT6" s="8" t="inlineStr">
        <is>
          <t>84106 (Utah LLC registered address per OpenCorporates; site/GBP publish no street address — service-area business)</t>
        </is>
      </c>
      <c r="AU6" s="8" t="inlineStr">
        <is>
          <t>Salt Lake Valley: Salt Lake City, Sandy, West Valley City, Riverton, Bountiful, Herriman, Midvale, Woods Cross, West Jordan, North Salt Lake, South Jordan, Magna, Draper (13 cities listed on https://fisherhvacslc.com/contact/; page also says "If you don't see your city listed, give us a call")</t>
        </is>
      </c>
      <c r="AV6" s="8" t="inlineStr">
        <is>
          <t>https://share.google/buzcevGpwhYVfQ97i (the Google share link in the site's JSON-LD sameAs; resolves to the Google knowledge panel "Fisher HVAC Heating &amp; Air", kgmid /g/11bwynwznp)</t>
        </is>
      </c>
      <c r="AW6" s="8" t="inlineStr">
        <is>
          <t>4.9</t>
        </is>
      </c>
      <c r="AX6" s="8" t="inlineStr">
        <is>
          <t>143+ per the live Google review widget on https://fisherhvacslc.com/reviews/ ("4.9 — Over 143 Reviews"); 138 per serviceagent.ai GBP mirror; 126 per expertise.com. Facebook 5.0 (11), Yelp 5.0 (8) per expertise.com.</t>
        </is>
      </c>
      <c r="AY6" s="8" t="inlineStr">
        <is>
          <t>2012 — "Since establishing Fisher HVAC in 2012" (https://fisherhvacslc.com/about/); "Founded in 2012" (expertise.com). Domain fisherhvacslc.com registered 2019-04-02 (RDAP/Verisign). LLC incorporation date not visible without OpenCorporates login. 14 years in business.</t>
        </is>
      </c>
      <c r="AZ6" s="8" t="inlineStr">
        <is>
          <t>Small owner-led crew, exact count Not found. Reviews describe Brian personally answering and doing the work ("Brian answered the call", "Brian came to clean our cooling coil") alongside "the team" and "all around great guys" (https://fisherhvacslc.com/reviews/). No team page, no LinkedIn/Indeed data obtainable this run.</t>
        </is>
      </c>
      <c r="BA6" s="8" t="inlineStr">
        <is>
          <t>1 (single service-area business; site says "Serving the Salt Lake Valley"; one Utah LLC; no other pins or locations referenced anywhere)</t>
        </is>
      </c>
      <c r="BB6" s="8" t="inlineStr">
        <is>
          <t>Furnace repair and installation; AC repair and installation (incl. evaporator coil); indoor ventilation / duct repair and replacement; tune-ups and inspections ($59 tune-up advertised on homepage; "twice-yearly service options"); new comfort systems; residential and commercial; financing available; 10% service discount for service members (https://fisherhvacslc.com/services/, https://fisherhvacslc.com/)</t>
        </is>
      </c>
      <c r="BC6" s="8" t="inlineStr">
        <is>
          <t>basic — SSL, WordPress (Astra theme + Elementor), Gravity Forms contact form, live Google-review widget, financing offered; no online booking, no chat/text, no call tracking, no pixels (GTM/fbq absent in source); GBP unclaimed; JSON-LD present but only WebSite + Person (no LocalBusiness/FAQPage). Tools detected: WordPress/Astra/Elementor/Gravity Forms; designer credit "469 Design".</t>
        </is>
      </c>
      <c r="BD6" s="8" t="inlineStr">
        <is>
          <t>diy — small veteran-run web designer (469 Design) built the site; no agency platform, no tracking, no ads detected in source, no social links. Ad platforms (Google Ads, LSA, Meta Ad Library) could not be checked this run.</t>
        </is>
      </c>
      <c r="BE6" s="8" t="inlineStr">
        <is>
          <t>established — 14 years (2012), 143+ Google reviews at 4.9, steady recent inflow (reviews dated 2 wk, 4 wk, 2 mo, 2 mo, 3 mo, 4 mo ago on the site widget), fresh site investment Sept 2026; no hiring or expansion evidence found.</t>
        </is>
      </c>
      <c r="BF6" s="8" t="inlineStr">
        <is>
          <t>unknown — Google review owner replies not visible on the site widget or the GBP mirror; Google Maps and Yelp could not be fetched (403). GBP is unclaimed, which makes owner replies unlikely but this is not verified.</t>
        </is>
      </c>
      <c r="BG6" s="8" t="inlineStr">
        <is>
          <t>claims_24_7 with no coverage proof: site header/footer "24/7 Emergency Service"; homepage "Emergency heating and cooling problems do not keep business hours. Call (801) 448-1956"; Contact page "Call us during business hours for the fastest service"; GBP hours Mon–Fri 8–5, Sat/Sun closed. No answering service, call center, or AI receptionist mentioned anywhere on site, GBP mirror, or page source.</t>
        </is>
      </c>
      <c r="BH6" s="8" t="inlineStr">
        <is>
          <t>None — no scheduler of any kind; "Request Service" and "Get a Free Estimate" buttons lead to the Gravity Forms contact form; page source has no servicetitan/housecall/jobber/calendly/leadconnector scripts.</t>
        </is>
      </c>
      <c r="BI6" s="8" t="inlineStr">
        <is>
          <t>None — no chat widget, no text-us, no click-to-text (page source checked for podium/birdeye/tidio/intercom/tawk/livechat/weave: none).</t>
        </is>
      </c>
      <c r="BJ6" s="8" t="inlineStr">
        <is>
          <t>WordPress + Astra theme + Elementor + Gravity Forms; live Google review embed; web designer "469 Design" (footer credit "Proudly Made in America by Veterans – 469 Design"); registrar GoDaddy (RDAP). No CRM, booking, chat, call-tracking, review-request, pixel, or agency platform found.</t>
        </is>
      </c>
      <c r="BK6" s="8" t="inlineStr">
        <is>
          <t>Not checked — Google Ads/Sponsored, LSA badge, and Google Ads Transparency could not be queried (search budget exhausted); Meta Ad Library returned 403. Negative evidence only: no gclid/UTM landing pages, no GTM, no Meta pixel, no CallRail/CTM in page source.</t>
        </is>
      </c>
      <c r="BL6" s="8" t="inlineStr">
        <is>
          <t>not checked — the AI spot-check (ChatGPT/Perplexity/Gemini money questions for Salt Lake City HVAC) could not be run this turn. Schema check done: site JSON-LD is WebSite + Person only; no LocalBusiness or FAQPage schema (https://fisherhvacslc.com/ page source). D4 scored 0 / NO EVIDENCE per rubric.</t>
        </is>
      </c>
      <c r="BM6" s="8" t="inlineStr">
        <is>
          <t>PASS. Chain/franchise: no — single Utah LLC, "Veteran Owned &amp; Locally Operated", no franchise language. Website: live, own domain, 200 OK, SSL, rebuilt Sept 2026. Live US business: Utah LLC status Active (OpenCorporates); reviews as recent as 2 weeks ago. Inbound channel: phone on every page + contact form. Competitor/non-buyer: no (HVAC contractor). Already automated: no AI receptionist, answering service, or GEO vendor credited anywhere. Suppression: grep of suppression.csv and seen.csv for "fisher", "fisherhvac", "448-1956", "4481956" — no match. GHL ghl-contacts.js dedupe NOT run by this subagent (not in scope) — flag for Rozel. No "no solicitation" notice on site.</t>
        </is>
      </c>
      <c r="BN6" s="8" t="inlineStr">
        <is>
          <t>D1 Decision-maker: 8/20 — Full name + role cited on the company's own About page ("As owner and operator... Brian Fisher proudly served... in the United States Navy", https://fisherhvacslc.com/about/) and corroborated by customer reviews naming "Brian Fisher" (https://fisherhvacslc.com/reviews/); only contact channel is the free-mail business inbox fisherhvac1@gmail.com (mailto on every page) + the main line; no on-domain personal email, no owner direct line, no LinkedIn found → 8 (call-first / DEMO PATH route). | D2 Phone gap: 15/15 — phone-first (header "Call 801-448-1956", homepage emergency box "Save our number before you need it", tel: primary CTA) AND gap proofs: GBP "Monday through Friday 8 AM–5 PM, Saturday and Sunday Closed" vs site "24/7 Emergency Service"; Contact page "Call us during business hours for the fastest service" / "We typically respond within 1 business day"; no answering service or AI vendor in source; HVAC is on the inherently-urgent list. | D3 Leak evidence: 5/15 — exactly one signal type: (4) GBP unclaimed/messaging unavailable (serviceagent mirror "Unclaimed. Not yet verified by business"); booking friction partially present (no scheduler, no chat) but the form carries a response-time promise so (5) does not strictly fire; no reachability complaints found — reviews praise responsiveness; owner reply rate, Yelp, BBB (no profile found in BBB search), Indeed not checkable. | D4 AI visibility: 0/10 — NO EVIDENCE: no AI platform could be queried this turn; schema check done (no LocalBusiness/FAQPage JSON-LD) but rubric requires a platform check. | D5 ICP fit: 15/15 — (a) independent, 1 location, named owner, "Veteran Owned &amp; Locally Operated"; (b) HVAC core niche; (c) proxies: since 2012 (site), 143+ Google reviews at 4.9 with 4 in the last ~60 days (site widget), HVAC install ticket $6–12k reference + "Financing Available", 9-city service area + 24/7 emergency claim → 4 proxies. Caution: crew appears small (owner answers phone and runs jobs) — budget sensitivity likely. | D6 Buying signals: 11/15 — dated trigger within 60 days: full site rebuild, sitemap lastmod 2026-09-16, assets /uploads/2026/09/ (https://fisherhvacslc.com/page-sitemap1.xml) + pre-winter seasonal window the business advertises; spend: (d) small designer credit only, no GTM/pixel/call tracking in source; (a) Google Ads, (b) LSA, (c) Meta Ad Library, (e) paid directories NOT checked this run → trigger with no spend found. | D7 Attitude/stack: 6/10 — positives: (b) modern site redesigned Sept 2026; (c) consumer financing offered; no negatives observed; review replies and social (a, d) unverifiable; no incumbent agency conflict (469 Design is a one-person designer credit). Net 2 → 6. | TOTAL 60/100 — TRUSTED (disqualifier pass recorded, 6 of 7 dimensions with evidence, D1 positive citation, D2 direct quoted evidence, D5 evidenced). Band: QUALIFIED (55–74). Not eligible for SEND TODAY because the D4 AI spot-check was not run.</t>
        </is>
      </c>
      <c r="BO6" s="8" t="inlineStr">
        <is>
          <t>https://fisherhvacslc.com/about/, https://fisherhvacslc.com/contact/, https://fisherhvacslc.com/, https://fisherhvacslc.com/reviews/, https://fisherhvacslc.com/services/, https://fisherhvacslc.com/page-sitemap1.xml, https://serviceagent.ai/directory/new-york/salt-lake-city-ut/hvac/fisher-hvac/, https://opencorporates.com/companies/us_ut/8512302-0160, https://www.expertise.com/home-improvement/hvac/utah/salt-lake-city, https://www.veteranownedbusiness.com/business/32831/fisher-hvac, https://share.google/buzcevGpwhYVfQ97i, https://rdap.org/domain/fisherhvacslc.com</t>
        </is>
      </c>
      <c r="BP6" s="8" t="inlineStr">
        <is>
          <t>Medium</t>
        </is>
      </c>
      <c r="BQ6" s="8" t="inlineStr">
        <is>
          <t>Title detail: Owner and Operator ("As owner and operator, he brings 35+ years of HVAC experience" — https://fisherhvacslc.com/about/). Legal entity note: legal: FISHER HVAC, L.L.C.; Google listing name: "Fisher HVAC Heating &amp; Air". 1) Route: call-first (D1 = 8). Email to fisherhvac1@gmail.com is fine as the second touch — it is a published business inbox and reviews show Brian runs the whole operation, but it is free-mail (spam-filter risk; plain text, no links). 2) Build the demo from fisherhvacslc.com before Sam dials; the site has clean service pages and a 24/7 claim to train on. 3) Run the 3 SLC HVAC money questions on 2 AI platforms before any audit claim — D4 was not run this turn, so no "Named in X of Y" line exists yet. 4) Do NOT lead with missed calls as a problem — his reviews praise his responsiveness; lead with coverage for the calls he physically cannot take (on-job, nights, weekends) and the new-site/24/7 mismatch. 5) Navy vet, 35+ years in the trade, "Straight Answers" brand — be direct, zero hype, no "AI transformation" talk; say "receptionist that picks up when you can't". 6) Free value-add for the call: GBP is unclaimed. 7) Budget: likely a 2–4 person shop; Recover may feel heavy — have the à la carte voice agent in your back pocket, pricing only on the Game Plan Call. 8) Gaps to close at QA: GHL ghl-contacts.js dedupe not run; Utah DOPL license, Google review owner-reply rate, Yelp, Facebook, Indeed, Meta/Google ads, LinkedIn, and Wayback were all blocked or unavailable this run (403s, login walls, Archive.org offline, search budget exhausted). 9) Do not reference Jodi beyond "co-founder named on your site" if at all.</t>
        </is>
      </c>
      <c r="BR6" s="10" t="inlineStr"/>
      <c r="BS6" s="10" t="inlineStr"/>
      <c r="BT6" s="10" t="inlineStr"/>
    </row>
    <row r="7" ht="120" customHeight="1">
      <c r="A7" s="8" t="inlineStr">
        <is>
          <t>20261013-06</t>
        </is>
      </c>
      <c r="B7" s="8" t="inlineStr">
        <is>
          <t>2026-10-13</t>
        </is>
      </c>
      <c r="C7" s="8" t="n">
        <v>2</v>
      </c>
      <c r="D7" s="10" t="inlineStr"/>
      <c r="E7" s="10" t="inlineStr">
        <is>
          <t>New</t>
        </is>
      </c>
      <c r="F7" s="8" t="n">
        <v>59</v>
      </c>
      <c r="G7" s="8">
        <f>IF(F7="","",IF(F7&gt;=80,"A — send today",IF(F7&gt;=60,"B — worth a touch",IF(F7&gt;=40,"C — hold","D — reject"))))</f>
        <v/>
      </c>
      <c r="H7" s="8" t="inlineStr">
        <is>
          <t>Zimmerman Electric Indy, LLC</t>
        </is>
      </c>
      <c r="I7" s="8" t="inlineStr">
        <is>
          <t>Zach</t>
        </is>
      </c>
      <c r="J7" s="8" t="inlineStr">
        <is>
          <t>Zimmerman</t>
        </is>
      </c>
      <c r="K7" s="8" t="inlineStr">
        <is>
          <t>Founder/Co-Owner | Master Electrician</t>
        </is>
      </c>
      <c r="L7" s="8" t="inlineStr">
        <is>
          <t>scheduling@zimmermanelectricindy.com</t>
        </is>
      </c>
      <c r="M7" s="8" t="inlineStr">
        <is>
          <t>Generic (info@/office@)</t>
        </is>
      </c>
      <c r="N7" s="8" t="inlineStr">
        <is>
          <t>Confirmed</t>
        </is>
      </c>
      <c r="O7" s="8" t="inlineStr">
        <is>
          <t>Not found</t>
        </is>
      </c>
      <c r="P7" s="8" t="inlineStr">
        <is>
          <t>+1 317-939-9197 (published on site + BBB; page source loads cdn.callrail.com swap.js so this is a CallRail tracking number). GBP / JSON-LD number: +1 317-961-8331. A third number, 317-754-7637, appears in the panel-upgrade page FAQ (likely another tracking line).</t>
        </is>
      </c>
      <c r="Q7" s="8" t="inlineStr">
        <is>
          <t>Electrical</t>
        </is>
      </c>
      <c r="R7" s="8" t="inlineStr">
        <is>
          <t>core</t>
        </is>
      </c>
      <c r="S7" s="8" t="inlineStr">
        <is>
          <t>Indianapolis</t>
        </is>
      </c>
      <c r="T7" s="8" t="inlineStr">
        <is>
          <t>IN</t>
        </is>
      </c>
      <c r="U7" s="8" t="inlineStr">
        <is>
          <t>Growth posture is visible right now: five new Learning Hub articles dated Sep 28-29, 2026 plus a 2026 Indiana EV-rebate guide, an open "Experienced Residential Electrician" role with a take-home van, and a self-description as "a rapidly growing company" - more trucks and more EV/panel inquiries landing on a phone line that is only staffed 7:30-4:30. Heading into Indiana winter, overloaded-circuit and panel calls spike and more of them come in evenings and weekends, exactly the window their "24/7 dispatch" promise has no published coverage for.</t>
        </is>
      </c>
      <c r="V7" s="8" t="inlineStr">
        <is>
          <t>Growth-Minded Operator (medium confidence; secondary: Tech-Forward Early Adopter)</t>
        </is>
      </c>
      <c r="W7" s="8" t="inlineStr">
        <is>
          <t>Voice AI live demo built from zimmermanelectricindy.com (after-hours/overflow receptionist for the "24/7 dispatch" promise), paired with missed-call text-back; GEO audit as the second touch once the spot-check is run.</t>
        </is>
      </c>
      <c r="X7" s="8" t="inlineStr">
        <is>
          <t>Recover</t>
        </is>
      </c>
      <c r="Y7" s="8" t="inlineStr">
        <is>
          <t>the 24/7 line on your contact page</t>
        </is>
      </c>
      <c r="Z7" s="8" t="inlineStr">
        <is>
          <t>Your contact page tells a homeowner with a smoking outlet to call for 24/7 dispatch, but the hours underneath say closed after 4:30 and all weekend - I got curious who actually picks up on a Saturday night.</t>
        </is>
      </c>
      <c r="AA7" s="8" t="inlineStr">
        <is>
          <t>Missed-call / after-hours gap. They advertise "24/7 dispatch" for life-safety emergencies on a Mon-Fri 7:30-4:30 shop, sell $1,500-$15k panel and EV jobs, and already pay CallRail to count calls. Pitch: an AI receptionist trained on their own site that answers the nights-and-weekends calls Hilary cannot, triages burning-smell emergencies, and books the estimate; go-live is one conditional call-forwarding rule. Do not position it as replacing Hilary or the office. Secondary angle: if they say GHL already texts back missed calls, pivot to the free AI-visibility audit for "EV charger installer / emergency electrician Indianapolis."</t>
        </is>
      </c>
      <c r="AB7" s="8" t="inlineStr">
        <is>
          <t>"We already have a system - our site has chat and we have a scheduler who's on top of it." (Evidence: GHL chat widget + CallRail + HubSpot stack; reviews praise Hilary's responsiveness.) Answer: this is only for the calls that come in after 4:30 and on weekends, when the site itself promises 24/7 dispatch; it books straight into what they already use and can be rolled back with one dial code. Also expect: "we're a Christian family business, we don't want a robot talking to customers" - offer the demo number so Zach can hear it and try to break it (the niche playbook says electricians will).</t>
        </is>
      </c>
      <c r="AC7" s="8" t="inlineStr">
        <is>
          <t>"Hi, is this Zach? Zach, this is Sam with Eat 4 Life Marketing - full transparency, this is a cold call, so you're welcome to hang up on me. I was on zimmermanelectricindy.com last night: your contact page tells someone with a smoking outlet to call you for 24/7 dispatch, but the hours right under it say closed after 4:30 and all weekend, so I got curious who's picking up that Saturday-night call. We build an AI receptionist trained on your own company that answers those after-hours calls, triages the emergencies, and books the estimate - and we already built a demo line off your site you can call and try to break. Can I take 20 seconds to tell you how it works, and you tell me if it's worth a longer look?"</t>
        </is>
      </c>
      <c r="AD7" s="8" t="inlineStr">
        <is>
          <t>Tue-Thu 7:30-8:15 AM ET, right at open before crews dispatch (hours "Mon-Fri: 7:30am - 4:30pm" on site and GBP aggregators); fallback 3:30-4:30 PM ET when techs are wrapping and the office is still staffed. Ask for Zach or for Craig Palmer (Business Manager) if Zach is in the field. Avoid weekends (closed) and the 4:30-5:00 PM gap where their own pages disagree on closing time.</t>
        </is>
      </c>
      <c r="AE7" s="8" t="inlineStr">
        <is>
          <t>Mon-Fri 7:30am-4:30pm, Sat &amp; Sun Closed (site footer + GBP aggregators); site Contact FAQ says Mon-Fri 7:30 AM-5:00 PM; JSON-LD says 09:00-17:00</t>
        </is>
      </c>
      <c r="AF7" s="8" t="inlineStr">
        <is>
          <t>America/Indiana/Indianapolis (Eastern Time)</t>
        </is>
      </c>
      <c r="AG7" s="8" t="inlineStr">
        <is>
          <t>Office line 317-939-9197 is a CallRail tracking number (the GBP line is 317-961-8331). Reviews name "Hilary" as the scheduler who "got us on the books" and "was a pleasure to deal with and very responsive" (Leadstal excerpts) - she most likely answers; be friendly, she is the person the pitch must not threaten. Second-in-command per site: Craig Palmer, Business Manager (handles "first call to final inspection documentation") and Matthew Williams, Director of Operations / Master Electrician. Co-owner Kara Zimmerman "co-manages the business" and is a legitimate decision-maker if Zach is on a job. No owner cell published. No answering service or IVR mentioned; expect voicemail outside 7:30-4:30.</t>
        </is>
      </c>
      <c r="AH7" s="8" t="inlineStr">
        <is>
          <t>The "24/7 dispatch" promise on the Contact page vs. the Mon-Fri 7:30-4:30 hours directly beneath it (https://www.zimmermanelectricindy.com/contact-us) - a neutral, verifiable observation about their own phone process, freshly paired with the Sep 28-29, 2026 content push that shows they are actively chasing EV and panel work.</t>
        </is>
      </c>
      <c r="AI7" s="8" t="inlineStr">
        <is>
          <t>(1) 24/7 claim vs. posted hours: Contact page FAQ "Does Zimmerman Electric Indy offer 24/7 emergency service? Yes... If you are experiencing a life-safety electrical emergency, please call 317-939-9197 immediately for 24/7 dispatch" and meta description "24/7 emergency services" (https://www.zimmermanelectricindy.com/contact-us) while footer/GBP hours read "Mon-Fri: 7:30am - 4:30pm / Sat &amp; Sun: Closed" and no answering service or AI receptionist is mentioned anywhere on site or in page source. (2) Phone-first funnel: "CALL US NOW!" with tel:+13179399197 five times on the homepage; "Schedule Service Today" is a phone link. (3) Form promise is slow for an emergency trade: "Fill out the form and our team will reach out within 24 hours" (homepage). (4) Hours conflict on their own site: footer says 4:30pm, Contact FAQ says "Monday-Friday, 7:30 AM - 5:00 PM". (5) Already paying to measure calls (CallRail) - they can see what they miss. No reachability complaints found in review excerpts; reviews praise the scheduler ("Hilary was a pleasure to deal with and very responsive" - https://www.leadstal.com/sb/zimmerman-electric-indy). Logged null for D3 after checking Leadstal + ServiceAgent review excerpts, BBB complaints (0), employment page (no front-office role), and page source.</t>
        </is>
      </c>
      <c r="AJ7" s="8" t="inlineStr">
        <is>
          <t>Sep 28-29, 2026: five new Learning Hub articles published (https://www.zimmermanelectricindy.com/electrical-learning-hub). Undated: open "Experienced Residential Electrician" role, $24-$32/hr with take-home van (https://www.zimmermanelectricindy.com/employment). Jan 2024: second entity Zimmerman Electric Indy, LLC filed (OpenCorporates). Seasonal: Indiana winter heating-load season approaching. No dated receptionist/CSR post, no new-location, no press found.</t>
        </is>
      </c>
      <c r="AK7" s="8" t="inlineStr">
        <is>
          <t>(1) Hiring production staff with "take-home van with all fuel paid" and self-description "a rapidly growing company" - https://www.zimmermanelectricindy.com/employment (seen 2026-10-14, undated post). (2) Pays for lead measurement: CallRail swap.js, Meta pixel (fbq), GTM/gtag x19, LeadConnector (GoHighLevel) forms + chat widget, HubSpot CMS - homepage and contact page source 2026-10-14. (3) Active content program: five Learning Hub articles dated Sep 28-29, 2026 and a 2026 EV-rebate guide - https://www.zimmermanelectricindy.com/electrical-learning-hub. (4) Review volume 216 Google reviews at 4.9 in under 5 years - https://serviceagent.ai/directory/indiana/indianapolis/electrician/zimmerman-electric-indy/. (5) Named operations layer (Director of Operations, Business Manager) on a 2022 startup - https://www.zimmermanelectricindy.com/about. Three source categories (site copy, page source, GBP aggregator); no contradicting signal found. Could not read review replies or social posts (Facebook/Instagram/Yelp/Google blocked), so confidence stays medium.</t>
        </is>
      </c>
      <c r="AL7" s="8" t="inlineStr">
        <is>
          <t>Self-stated on https://www.zimmermanelectricindy.com/about: Zach is "Founder/Co-Owner | Master Electrician" who "leads Zimmerman Electric Indy with a focus on honest, expert craftsmanship," specializing in 200-amp panel upgrades and commercial buildouts; "Founded by Zach and Kara Zimmerman"; company "built on Christian values." Founding timeline: domain registered 2021-08-18 (RDAP), Zimmerman Electric, LLC formed 2022-01-06 (BBB "Business Started" + Indiana company number 202201061554721), site live by 2022-03-22 (Wayback), BBB accredited 2023-05-19, second entity Zimmerman Electric Indy, LLC filed Jan 2024 (company number 202401081754181, status Active). Discrepancy to note, not resolved: BuildZoom lists licenses EH2300046 / EL2300015 under "Nicholas Zimmerman" at the same address with Kara and Zachary Zimmerman as employees (https://www.buildzoom.com/contractor/nicholas-zimmerman). No prior-career, military or trade-school facts published.</t>
        </is>
      </c>
      <c r="AM7" s="8" t="inlineStr">
        <is>
          <t>Tone: warm, values-forward, plain-spoken. Verbatim site lines: "Lighting up Indy like family" (About); "We strive to be the hands and feet of Jesus each day" (About); "transparent, fixed-price estimates with no hidden fees" (About, Craig Palmer bio); "No Guesswork" pricing (Contact FAQ); "a rapidly growing company" (Employment page). Bragging points: BBB A+ Accredited since 2023, "200-amp service upgrade in a single day," Master Electricians on staff, 9-county service area. Faith-based brand statement is published by the business itself; do not go beyond it.</t>
        </is>
      </c>
      <c r="AN7" s="8" t="inlineStr">
        <is>
          <t>Owner-operator</t>
        </is>
      </c>
      <c r="AO7" s="8" t="inlineStr">
        <is>
          <t>Not found (LinkedIn company URL returned 429 on fetch; web-search budget was exhausted this run, so no X-ray search could be made)</t>
        </is>
      </c>
      <c r="AP7" s="8" t="inlineStr">
        <is>
          <t>Company accounts linked from site footer: https://www.facebook.com/zimmermanelectricindy/ (login wall, not readable), https://www.instagram.com/zimmermanelectricindy/ (403), https://www.youtube.com/@zimmermanelectricindy8613 (channel exists; counts not readable). No personal owner socials found.</t>
        </is>
      </c>
      <c r="AQ7" s="8" t="inlineStr">
        <is>
          <t>https://www.zimmermanelectricindy.com</t>
        </is>
      </c>
      <c r="AR7" s="8" t="inlineStr">
        <is>
          <t>scheduling@zimmermanelectricindy.com (mailto: on homepage, About and Contact pages; domain MX = Google Workspace, checked 2026-10-14)</t>
        </is>
      </c>
      <c r="AS7" s="8" t="inlineStr">
        <is>
          <t>1518 E Washington St Suite 200, Indianapolis, IN 46201 (site footer, BBB, OpenCorporates head office)</t>
        </is>
      </c>
      <c r="AT7" s="8" t="inlineStr">
        <is>
          <t>46201</t>
        </is>
      </c>
      <c r="AU7" s="8" t="inlineStr">
        <is>
          <t>Marion, Boone, Hamilton, Hancock, Hendricks, Johnson, Madison, Morgan, and Shelby counties (homepage + About); county pages for Hendricks, Johnson, Hamilton.</t>
        </is>
      </c>
      <c r="AV7" s="8" t="inlineStr">
        <is>
          <t>https://www.google.com/maps?cid=2307807811652556701</t>
        </is>
      </c>
      <c r="AW7" s="8" t="inlineStr">
        <is>
          <t>4.9</t>
        </is>
      </c>
      <c r="AX7" s="8" t="inlineStr">
        <is>
          <t>216 Google (ServiceAgent GBP pull; Leadstal shows 4.90); BBB 0 reviews / 0 complaints; Thumbtack 4.5 (10 reviews, 12 hires) per scout, not re-verified (fetch failed)</t>
        </is>
      </c>
      <c r="AY7" s="8" t="inlineStr">
        <is>
          <t>2022 ("SINCE 2022" on site; BBB Business Started 2022-01-06; Indiana LLC number 202201061554721; domain registered 2021-08-18; BBB Accredited since 2023-05-19) - about 4.75 years</t>
        </is>
      </c>
      <c r="AZ7" s="8" t="inlineStr">
        <is>
          <t>Roughly 6-10: four named leaders (Zach, Kara, Matthew Williams, Craig Palmer) + Jeremy (electrician, reviews) + Hilary (scheduler, reviews) + Patrick Breckheimer (BuildZoom employee list) + at least one open electrician role; take-home vans mentioned. No headcount published.</t>
        </is>
      </c>
      <c r="BA7" s="8" t="inlineStr">
        <is>
          <t>1</t>
        </is>
      </c>
      <c r="BB7" s="8" t="inlineStr">
        <is>
          <t>Residential electrical service and repair, 200-amp electrical panel upgrades (Federal Pacific/Zinsco replacement), whole-home surge protection, EV charger installation (Tesla Wall Connector, ChargePoint, JuiceBox, Emporia, Clipper Creek), commercial electrical and commercial/fleet EV chargers, rewiring, kitchen/hot-tub/garage subpanel wiring, lighting.</t>
        </is>
      </c>
      <c r="BC7" s="8" t="inlineStr">
        <is>
          <t>advanced - HubSpot CMS site (meta generator), LeadConnector/GHL forms + chat-widget loader (widget id 6a75d9c2...), CallRail dynamic number swap, Meta pixel, GTM, LocalBusiness JSON-LD; no online booking, no text-us button, no financing widget (page source 2026-10-14)</t>
        </is>
      </c>
      <c r="BD7" s="8" t="inlineStr">
        <is>
          <t>agency_managed (likely) - HubSpot CMS + GoHighLevel widgets + CallRail + pixel + SEO-style blog cadence point to a managed stack, but no agency footer credit and no in-house marketer named; treat as unconfirmed</t>
        </is>
      </c>
      <c r="BE7" s="8" t="inlineStr">
        <is>
          <t>establishing - formed Jan 2022 (~4.75 yrs), 216 reviews, hiring electricians, 9-county service area, second LLC filed 2024</t>
        </is>
      </c>
      <c r="BF7" s="8" t="inlineStr">
        <is>
          <t>unknown - Google Business Profile could not be opened (JS shell); aggregator pages (ServiceAgent, Leadstal) show no owner replies; BBB shows 0 complaints / 0 reviews</t>
        </is>
      </c>
      <c r="BG7" s="8" t="inlineStr">
        <is>
          <t>claims_24_7 with hours_only coverage: Contact page says "24/7 dispatch" / "24/7 emergency services" but published hours are Mon-Fri 7:30am-4:30pm, Sat &amp; Sun Closed; no answering service, IVR, or AI receptionist mentioned on site or in page source.</t>
        </is>
      </c>
      <c r="BH7" s="8" t="inlineStr">
        <is>
          <t>No - estimate request form (LeadConnector/GHL) with "our team will reach out within 24 hours"; "Schedule Service Today" is a phone link.</t>
        </is>
      </c>
      <c r="BI7" s="8" t="inlineStr">
        <is>
          <t>Yes, chat: LeadConnector (GoHighLevel) chat-widget loader present on homepage and contact page source (widget id 6a75d9c24aeeffcf758eba06). No "text us" button found.</t>
        </is>
      </c>
      <c r="BJ7" s="8" t="inlineStr">
        <is>
          <t>HubSpot CMS (meta generator), GoHighLevel/LeadConnector (forms + chat widget), CallRail (swap.js, company 680741302), Meta pixel (id 1549694762651463), Google Tag Manager / gtag, LocalBusiness JSON-LD, Google Workspace mail (MX), GoDaddy registrar; no booking, financing, or review-widget vendor found.</t>
        </is>
      </c>
      <c r="BK7" s="8" t="inlineStr">
        <is>
          <t>Not confirmed. Indirect: CallRail dynamic number swap and Meta pixel on all pages (they track paid traffic). Meta Ad Library returned 403 and Google Ads Transparency Center rendered as a JS shell; LSA unit not checked (search budget exhausted).</t>
        </is>
      </c>
      <c r="BL7" s="8" t="inlineStr">
        <is>
          <t>not checked - web-search budget was exhausted this run, so no ChatGPT/Perplexity/Gemini money-question check was possible; schema status: LocalBusiness JSON-LD present (telephone 3179618331, hours listed as 09:00-17:00 which conflicts with the site's 7:30-4:30), no FAQPage schema.</t>
        </is>
      </c>
      <c r="BM7" s="8" t="inlineStr">
        <is>
          <t>PASS - independently owned single-location Indiana LLC (two active entities, both with Zachary Zimmerman as registered agent), no franchise/chain language, working own-domain site (HubSpot, copyright 2026), phone + form + chat present, electrical contractor (not a competitor category), no AI receptionist vendor in page source, no "no solicitation" notice; suppression.csv and seen.csv grep for "zimmerman" / "zimmermanelectric": no match (2026-10-14). GHL E4L Services dedupe not run from this sandbox.</t>
        </is>
      </c>
      <c r="BN7" s="8" t="inlineStr">
        <is>
          <t>D1 Decision-maker reach: 8/20 - Zach (Zachary) Zimmerman, Founder/Co-Owner (site About) + President/Co-Owner (BBB) + registered agent (OpenCorporates), Kara Zimmerman Co-Owner; only a generic scheduling@ mailbox, no direct line, no LinkedIn found -&gt; call-first route. | D2 Phone-coverage gap: 15/15 - phone-first ("CALL US NOW!", tel link x5) AND gap proof (a) site claims "24/7 dispatch" / "24/7 emergency service" while hours are Mon-Fri 7:30-4:30, Sat &amp; Sun Closed; urgent niche; (c) no answering service/AI receptionist mention in site or source. | D3 Lead-response leak: 0/15 - logged null: no reachability complaints in available review excerpts (reviews praise responsiveness), no front-office job post (only "Experienced Residential Electrician"), 0 BBB complaints, GHL chat widget present and form gives a 24-hour promise so friction test fails; GBP reply rate unreadable. | D4 AI search visibility: 0/10 NO EVIDENCE - AI spot-check not run (web-search budget exhausted this run); site has LocalBusiness JSON-LD, no FAQPage schema -&gt; max possible would be 6. | D5 ICP fit / ability to pay: 15/15 - family-owned single location with named owners; core niche; proxies: formed 2022-01-06 (BBB/SOS number), 216 Google reviews at 4.9, 4 named leaders + Jeremy/Hilary/Patrick + take-home vans, panel/EV tickets (electrical $400-3k reference row), 9-county service area. | D6 Buying signals: 11/15 - paid-media signal (a) CallRail dynamic number swap on landing pages + spend group (d) GTM + Meta pixel + HubSpot/GHL stack; no dated trigger within 60 days found (electrician job post undated; Sep 28-29 2026 blog burst is soft activity); Meta Ad Library (403), Google Ads Transparency (JS shell), LSA and Indeed could not be checked. | D7 Attitude / stack: 10/15 scale is /10 -&gt; 10/10 - positives: modern HubSpot site copyright 2026 with Sep 2026 posts, adopts tech (chat widget, call tracking, pixel), growth posture ("rapidly growing company", hiring, vans); no negatives observed; no confirmed bundled-agency or in-house marketer (flag: GHL + CallRail stack may mean an agency already runs their CRM). | TOTAL 59/100 - TRUSTED (6 of 7 dimensions evidenced, D1 positive, D2 direct, D5 evidenced; GHL sub-account dedupe not performed from this sandbox - Rozel to run ghl-contacts.js). Band: QUALIFIED. Not SEND TODAY because the D4 spot-check was not run.</t>
        </is>
      </c>
      <c r="BO7" s="8" t="inlineStr">
        <is>
          <t>https://www.zimmermanelectricindy.com/contact-us, https://www.zimmermanelectricindy.com/, https://www.zimmermanelectricindy.com/about, https://www.bbb.org/us/in/indianapolis/profile/electrician/zimmerman-electric-llc-0382-90045346, https://opencorporates.com/companies/us_in/202401081754181, https://opencorporates.com/companies/us_in/202201061554721, https://www.zimmermanelectricindy.com/employment, https://www.zimmermanelectricindy.com/electrical-learning-hub, https://www.leadstal.com/sb/zimmerman-electric-indy, https://serviceagent.ai/directory/indiana/indianapolis/electrician/zimmerman-electric-indy/, https://www.zimmermanelectricindy.com/indianapolis-residential-panel-upgrades, https://www.zimmermanelectricindy.com/indianapolis-ev-charger-installation, https://www.buildzoom.com/contractor/nicholas-zimmerman, https://www.google.com/maps?cid=2307807811652556701, https://rdap.org/domain/zimmermanelectricindy.com, http://web.archive.org/web/20220322112618/https://zimmermanelectricindy.com/</t>
        </is>
      </c>
      <c r="BP7" s="8" t="inlineStr">
        <is>
          <t>Medium</t>
        </is>
      </c>
      <c r="BQ7" s="8" t="inlineStr">
        <is>
          <t>Title detail: Founder/Co-Owner | Master Electrician (site About page); "President/Co-Owner" and legal first name "Zachary" per BBB; registered agent of both Indiana LLCs per OpenCorporates. Second decision-maker: Kara Zimmerman, Co-Owner (site + BBB).. Legal entity note: BBB and Indiana SOS also list the 2022 entity "Zimmerman Electric, LLC". (1) Band QUALIFIED at 59 TRUSTED, call-first: the only mailbox is scheduling@ (generic, Confirmed); if you email it, write for Hilary/Craig to forward to Zach. (2) Stack caution: HubSpot CMS + GoHighLevel forms and chat widget + CallRail + Meta pixel means someone (likely an agency) already runs their CRM; verify on the call whether missed-call text-back is already live in their GHL before pitching it - if yes, lead with the after-hours voice line and the GEO audit instead. (3) D4 was not run (search budget exhausted this run); run the 3-question spot-check for "emergency electrician Indianapolis" / "EV charger installer Indianapolis" / "best-reviewed electrician Indianapolis" before any audit claim. (4) Entity note: two active Indiana LLCs (Zimmerman Electric, LLC 2022 and Zimmerman Electric Indy, LLC 2024), both with Zachary Zimmerman as registered agent; BuildZoom shows licenses under a "Nicholas Zimmerman" at the same address - do not raise it, just use "Zach". (5) Faith-based brand statement is theirs; keep tone warm and plain, no hype, no "AI" in the subject line. (6) GHL E4L Services dedupe (ghl-contacts.js) was not run from this sandbox - Rozel to confirm before load. (7) Meta Ad Library, Google Ads Transparency, LSA, Indeed, Yelp, Facebook, Instagram, LinkedIn and Google Maps all blocked or JS-only this run; D6/D7 rest on page-source evidence.</t>
        </is>
      </c>
      <c r="BR7" s="10" t="inlineStr"/>
      <c r="BS7" s="10" t="inlineStr"/>
      <c r="BT7" s="10" t="inlineStr"/>
    </row>
    <row r="8" ht="120" customHeight="1">
      <c r="A8" s="8" t="inlineStr">
        <is>
          <t>20261013-07</t>
        </is>
      </c>
      <c r="B8" s="8" t="inlineStr">
        <is>
          <t>2026-10-13</t>
        </is>
      </c>
      <c r="C8" s="8" t="n">
        <v>2</v>
      </c>
      <c r="D8" s="10" t="inlineStr"/>
      <c r="E8" s="10" t="inlineStr">
        <is>
          <t>New</t>
        </is>
      </c>
      <c r="F8" s="8" t="n">
        <v>59</v>
      </c>
      <c r="G8" s="8">
        <f>IF(F8="","",IF(F8&gt;=80,"A — send today",IF(F8&gt;=60,"B — worth a touch",IF(F8&gt;=40,"C — hold","D — reject"))))</f>
        <v/>
      </c>
      <c r="H8" s="8" t="inlineStr">
        <is>
          <t>Smart Move Property Management</t>
        </is>
      </c>
      <c r="I8" s="8" t="inlineStr">
        <is>
          <t>Andrea</t>
        </is>
      </c>
      <c r="J8" s="8" t="inlineStr">
        <is>
          <t>Mayer</t>
        </is>
      </c>
      <c r="K8" s="8" t="inlineStr">
        <is>
          <t>President</t>
        </is>
      </c>
      <c r="L8" s="8" t="inlineStr">
        <is>
          <t>andrea@smartmovepm.com</t>
        </is>
      </c>
      <c r="M8" s="8" t="inlineStr">
        <is>
          <t>Personal (named)</t>
        </is>
      </c>
      <c r="N8" s="8" t="inlineStr">
        <is>
          <t>Confirmed</t>
        </is>
      </c>
      <c r="O8" s="8" t="inlineStr">
        <is>
          <t>+1 208-906-0196 ext. 100 ("Direct: (208) 906-0196 ext. 100" on https://www.smartmovepm.com/andrea-mayer). No cell published.</t>
        </is>
      </c>
      <c r="P8" s="8" t="inlineStr">
        <is>
          <t>+1 208-906-0196</t>
        </is>
      </c>
      <c r="Q8" s="8" t="inlineStr">
        <is>
          <t>Residential property management (single-family, condos, townhomes, duplexes; ~215-225 homes — /services says "around 225 homes", homepage says "approximately 215 Treasure Valley rental properties with 97% occupancy")</t>
        </is>
      </c>
      <c r="R8" s="8" t="inlineStr">
        <is>
          <t>extend</t>
        </is>
      </c>
      <c r="S8" s="8" t="inlineStr">
        <is>
          <t>Boise</t>
        </is>
      </c>
      <c r="T8" s="8" t="inlineStr">
        <is>
          <t>ID</t>
        </is>
      </c>
      <c r="U8" s="8" t="inlineStr">
        <is>
          <t>The company is mid-investment in inbound right now: a new ClearLead site with every page updated Sep-Oct 2026 and 17+ owner-facing blog posts since Aug 12 (several targeting "best property managers in Boise" and cost/ROI questions), plus 2025 Boise Favorites and Top 100 recognition. More owner-inquiry traffic is being bought while the office phone runs Mon-Fri 9-4 with a 24-business-hour reply promise — the calls that new traffic generates after hours have nowhere to land.</t>
        </is>
      </c>
      <c r="V8" s="8" t="inlineStr">
        <is>
          <t>Tech-Forward Early Adopter (primary); Growth-Minded Operator (secondary) — confidence medium</t>
        </is>
      </c>
      <c r="W8" s="8" t="inlineStr">
        <is>
          <t>Voice AI live demo built from smartmovepm.com — after-hours and overflow coverage for the main line: leasing inquiries, maintenance calls (route true emergencies to their published 402 line / Property Meld), and landlord "Free Rental Analysis" callers qualified and booked. Pair with missed-call text-back. Do NOT lead with the GEO audit or a site rebuild (ClearLead already supplies both).</t>
        </is>
      </c>
      <c r="X8" s="8" t="inlineStr">
        <is>
          <t>Recover</t>
        </is>
      </c>
      <c r="Y8" s="8" t="inlineStr">
        <is>
          <t>after 4 PM at Smart Move</t>
        </is>
      </c>
      <c r="Z8" s="8" t="inlineStr">
        <is>
          <t>About twenty years from a notepad on a Boise Bench floor to a couple hundred doors, and the new site tells that story well — congrats on the Boise Favorites nod too.</t>
        </is>
      </c>
      <c r="AA8" s="8" t="inlineStr">
        <is>
          <t>She already tells owners to ask a PM "How are after-hours calls handled?" — so ask her the same question about the main line after 4 PM and when all five people are on calls. Position voice AI as the missing layer on top of Rent Manager and Property Meld: it answers the leasing and owner-inquiry calls that hit 208-906-0196 outside 9-4, qualifies the caller, books or routes, and hands true maintenance emergencies to the number she already publishes. Proof lever: a demo line trained on smartmovepm.com she can call before paying. Ask #1: 20-minute Game Plan Call.</t>
        </is>
      </c>
      <c r="AB8" s="8" t="inlineStr">
        <is>
          <t>"We already have an after-hours emergency number and Property Meld for repairs, and ClearLead handles our marketing." Answer: this doesn't touch either — ClearLead stays on the site and search; Meld stays on repairs; the AI only covers calls to the main office line that nobody can pick up (after 4, weekends, all lines busy), especially landlord inquiries and leasing calls, and go-live is one conditional call-forwarding rule with a one-dial-code rollback. Secondary objection: "our reviews say we're responsive" — agree, and frame it as protecting that reputation on the calls that currently go to voicemail.</t>
        </is>
      </c>
      <c r="AC8" s="8" t="inlineStr">
        <is>
          <t>"Hi Andrea, this is Sam with Eat 4 Life Marketing — full transparency, this is a cold call, so feel free to hang up on me. I was on smartmovepm.com: the office runs nine to four, the site promises 24/7 emergency response, and your own blog tells owners to ask a property manager how after-hours calls get handled. We build an AI receptionist trained on a property manager's own website — it picks up the leasing and landlord calls that hit your main line after four or when all five of you are on the phone, qualifies the caller, books them, and sends real emergencies to the number you already publish. We'd build a demo line for Smart Move you can call before you ever pay a dollar. Can I take twenty seconds to tell you how it works, and you tell me if it's worth a longer look?"</t>
        </is>
      </c>
      <c r="AD8" s="8" t="inlineStr">
        <is>
          <t>Tue-Thu 9:30-11:00 AM MT, shortly after the 9 AM open and before the leasing/maintenance call load builds; dial the main line +1 208-906-0196 and ask for ext. 100 (Andrea's published direct extension, https://www.smartmovepm.com/andrea-mayer). Fallback: 2:00-3:30 PM MT before the 4 PM close. Office is closed weekends, so no Fri-afternoon or Monday-morning attempts.</t>
        </is>
      </c>
      <c r="AE8" s="8" t="inlineStr">
        <is>
          <t>Site contact page verbatim: "Our Boise office at 2645 N Cole Rd, Ste A is open Monday-Friday 9AM to 4PM." (https://www.smartmovepm.com/contact-us). Site JSON-LD openingHoursSpecification says Mon-Fri 09:00-17:00 (minor conflict). After-hours maintenance emergency line published: 402.512.6423. GBP hours string not opened.</t>
        </is>
      </c>
      <c r="AF8" s="8" t="inlineStr">
        <is>
          <t>America/Boise (Mountain Time, MT)</t>
        </is>
      </c>
      <c r="AG8" s="8" t="inlineStr">
        <is>
          <t>Site says "Every message here reaches a real person in our Boise office" (contact-us); no answering service or IVR vendor found. Likely first voice: Ian Pilongo, Administrative Assistant ("keeps applications, move-ins, records... on schedule") or Jennifer Brey, Operations Specialist ("keeps the systems behind all of it running smoothly") — both on https://www.smartmovepm.com/meet-our-team. Tamara Garcia (Assistant PM) handles repairs/emergencies; Kelly Russell is Lead PM/leasing — not the buyer. Get-through: ask for "Andrea, extension 100" by name (her published direct ext.). After-hours line 402-512-6423 is for maintenance emergencies only — do not call it. No owner cell published.</t>
        </is>
      </c>
      <c r="AH8" s="8" t="inlineStr">
        <is>
          <t>The brand-new site and blog push: every page on the sitemap carries lastmod Sep 4-Oct 13 2026 and 17+ blog posts are dated Aug 12-Oct 9 2026, including "Best Property Managers in Boise" under Andrea's byline that tells owners to ask a prospective PM "How are after-hours calls handled?" (https://www.smartmovepm.com/blog/best-property-managers-in-boise). Secondary: 20 years / Boise Favorites 2025.</t>
        </is>
      </c>
      <c r="AI8" s="8" t="inlineStr">
        <is>
          <t>(a) Coverage gap: "24/7 emergency response with trusted, vetted local vendors" (home) and "responds to emergencies 24/7" (services) vs. office "open Monday-Friday 9AM to 4PM" (contact-us) — a 5-person office with a 7-hour phone day. (b) Response promise is 24 hours, not minutes: "We promise to reply to all communication within 24 business hours" (https://www.smartmovepm.com/pricing, Guarantees). (c) Owner-lead channel is a form with no stated turnaround; no chat/text/scheduling in source. (d) Andrea's own words: "Collecting rent and answering maintenance calls are the starting point" (andrea-mayer page) and her bylined blog post lists "How are after-hours calls handled?" as a question owners should ask a PM (best-property-managers-in-boise, Last Updated Sep 9, 2026). (e) Both tenant and owner inbound route to one main line 208.906.0196. Counter-signal: site widget quotes praise responsiveness; Google/Yelp review text not opened.</t>
        </is>
      </c>
      <c r="AJ8" s="8" t="inlineStr">
        <is>
          <t>(1) New website/content push: Squarespace site created ~May 2026 (site-ID timestamp), privacy/terms lastmod 2026-07-23, every page lastmod 2026-09-04 to 2026-10-13, 17+ blog posts dated Aug 12-Oct 9 2026 (https://www.smartmovepm.com/sitemap.xml) — trigger within 60-180 days. (2) Awards: Idaho Statesman Boise Favorites Best Property Management 2025 and PropertyManagement.com Top 100 2025 (https://www.smartmovepm.com/about-us; nomination post on LinkedIn company page). (3) Seasonal: "boise-turn-season-tenant-turnover" post (Sept 2026) and 3 active listings on /available-properties (lastmod 2026-10-13). No job posts found (careers page 404; Indeed 403).</t>
        </is>
      </c>
      <c r="AK8" s="8" t="inlineStr">
        <is>
          <t>(1) Website stack: Rent Manager owner/resident portals, Property Meld repair-request portal, four owner calculators, LocalBusiness + FAQPage JSON-LD, Google review widget, GTM — https://www.smartmovepm.com/ page source, seen 2026-10-14. (2) Website copy: "We leverage the latest technology to streamline processes, enhance communication, and provide real-time updates to our clients" — https://www.smartmovepm.com/about-us. (3) Invests in a PM-vertical agency (footer "Property Management Websites by ClearLead Digital"; Smart Move logo in ClearLead's "Trusted By" section — https://clearleaddigital.com/). (4) New site + 17 blog posts Aug-Oct 2026 under Andrea's byline — https://www.smartmovepm.com/sitemap.xml. (5) LinkedIn company page: nominated Best Property Management Company, 2025 Boise Favorites Awards; posts cite "99.9% on-time rent collection rate" — https://www.linkedin.com/company/smartmovepm. (6) Third party: BBB A+, 0 complaints; Expertise.com 2019-2024. Contradicting signal: none observed. Review-reply behavior not observed (GBP not opened).</t>
        </is>
      </c>
      <c r="AL8" s="8" t="inlineStr">
        <is>
          <t>Self-stated on https://www.smartmovepm.com/andrea-mayer: eight years in collections, then joined a struggling PM company and "was promoted to build the systems the company needed"; started Smart Move in 2005 with a single rental (her own former home), first ten properties from friends; NARPM member since 2008, RMP 2014, MPM 2019, President of NARPM Southwest Idaho Chapter 2020, 10+ years on chapter board, national committee service; EPA Lead-Safe certified; owns 7 properties (5 rentals) in Idaho and out of state. Expertise.com corroborates "headed by Andrea Mayer... 2020 president of the local NARPM chapter".</t>
        </is>
      </c>
      <c r="AM8" s="8" t="inlineStr">
        <is>
          <t>Tone: professional, systems-minded, standards-forward. Verbatim: "Andrea is a problem solver and a systems builder. She cares about smart processes, high standards, protecting investments" (andrea-mayer page); "be the company we would want to hire for our own investments" (same); "Collecting rent and answering maintenance calls are the starting point" (same); core values "Be kind and radiate positive energy," "Own the outcome," "Instill trust through integrity and reliability" (about-us). Brag points: Idaho Statesman Boise Favorites Best Property Management 2023/2024/2025, PropertyManagement.com Top 100 2025, Idaho Apartment Association Best SF PM Company 2023, Expertise.com 2019-2024 (all listed on https://www.smartmovepm.com/about-us). Writes her own blog posts under her byline. Light personal note on her page (travel, Halloween costumes) — do not use.</t>
        </is>
      </c>
      <c r="AN8" s="8" t="inlineStr">
        <is>
          <t>Owner-operator</t>
        </is>
      </c>
      <c r="AO8" s="8" t="inlineStr">
        <is>
          <t>Not found (owner profile X-ray could not be run: WebSearch budget exhausted this turn; LinkedIn guest pages show no named people). Company page: https://www.linkedin.com/company/smartmovepm</t>
        </is>
      </c>
      <c r="AP8" s="8" t="inlineStr">
        <is>
          <t>Company accounts from site footer: facebook.com/SMPMBoise, instagram.com/smartmovepm, linkedin.com/company/smartmovepm, pinterest.com/operations1778 (Facebook/Instagram blocked behind login/429 in this pass; activity not observed). No personal owner socials found.</t>
        </is>
      </c>
      <c r="AQ8" s="8" t="inlineStr">
        <is>
          <t>https://www.smartmovepm.com</t>
        </is>
      </c>
      <c r="AR8" s="8" t="inlineStr">
        <is>
          <t>hello@smartmovepm.com (support/owner inquiries); team@smartmovepm.com (maintenance); maintenance@smartmovepm.com (listed in contact FAQ) — all on https://www.smartmovepm.com/contact-us</t>
        </is>
      </c>
      <c r="AS8" s="8" t="inlineStr">
        <is>
          <t>2645 N Cole Rd Ste A, Boise, ID 83704</t>
        </is>
      </c>
      <c r="AT8" s="8" t="inlineStr">
        <is>
          <t>83704</t>
        </is>
      </c>
      <c r="AU8" s="8" t="inlineStr">
        <is>
          <t>Boise, Meridian, Eagle, Garden City, Kuna and surrounding Treasure Valley (dedicated city pages for Meridian/Eagle/Garden City/Kuna)</t>
        </is>
      </c>
      <c r="AV8" s="8" t="inlineStr">
        <is>
          <t>https://www.google.com/maps?cid=4323954082464469543 (hasMap value in the site's LocalBusiness JSON-LD; GBP not opened in this pass)</t>
        </is>
      </c>
      <c r="AW8" s="8" t="inlineStr">
        <is>
          <t>4.6 per Expertise.com listing (GBP not opened); site's Google review widget shows "Based on 308 reviews" — count conflict, refresh before use</t>
        </is>
      </c>
      <c r="AX8" s="8" t="inlineStr">
        <is>
          <t>179 Google / 44 Facebook (5.0) / 8 Yelp (4.0) per https://www.expertise.com/id/meridian/property-management; site widget says 308 Google reviews (https://www.smartmovepm.com/testimonials); BBB 0 complaints in 3 yrs</t>
        </is>
      </c>
      <c r="AY8" s="8" t="inlineStr">
        <is>
          <t>CONFLICT: site says 2005 ("began in 2005 on the floor of a Boise Bench home") and "Nearly twenty years later" (About page — it does NOT say "over 20 years"); BBB foundingDate 2003-09-03; Idaho SOS corp filed 05/12/2014, ABN filed 01/05/2018. Use "since 2005" / "about twenty years" — never "over 20 years" or a specific anniversary.</t>
        </is>
      </c>
      <c r="AZ8" s="8" t="inlineStr">
        <is>
          <t>5 named staff on Meet Our Team (President, Operations Specialist, Lead PM, Assistant PM, Admin Assistant); LinkedIn company page says 2-10 employees (https://www.linkedin.com/company/smartmovepm)</t>
        </is>
      </c>
      <c r="BA8" s="8" t="inlineStr">
        <is>
          <t>1 (single office, 2645 N Cole Rd Ste A; SOS and site agree)</t>
        </is>
      </c>
      <c r="BB8" s="8" t="inlineStr">
        <is>
          <t>Full-service residential PM: rental marketing/leasing, tenant screening, rent collection, maintenance coordination (Property Meld), inspections (drive-by every other month, 2x/yr walkthroughs), financial reporting/owner portal (Rent Manager), evictions support, 24/7 emergency response. Pricing: flat 9% monthly mgmt fee, 20% of one month's rent leasing fee (https://www.smartmovepm.com/pricing)</t>
        </is>
      </c>
      <c r="BC8" s="8" t="inlineStr">
        <is>
          <t>advanced (portals, Property Meld, schema/FAQ markup, calculators; but no chat, text-us, online scheduling or call tracking found in source)</t>
        </is>
      </c>
      <c r="BD8" s="8" t="inlineStr">
        <is>
          <t>agency_managed (ClearLead Digital: PM-vertical websites, SEO, GEO/AEO, paid media, CRM strategy)</t>
        </is>
      </c>
      <c r="BE8" s="8" t="inlineStr">
        <is>
          <t>established (20 yrs, ~225 doors, 5 staff, steady reviews; no hiring observed)</t>
        </is>
      </c>
      <c r="BF8" s="8" t="inlineStr">
        <is>
          <t>unknown (Google reviews/owner replies not opened; Yelp 403; site widget shows only positive reviews)</t>
        </is>
      </c>
      <c r="BG8" s="8" t="inlineStr">
        <is>
          <t>claims_24_7 with a separate published emergency line: home page "24/7 emergency response with trusted, vetted local vendors"; services page "responds to emergencies 24/7"; contact page "For an after-hours maintenance emergency, call 402.512.6423" (also in JSON-LD as contactType "emergency"). Office "Monday through Friday from 9 AM to 4 PM". Who answers the 402 line (staff cell, vendor, answering service) is not stated anywhere; main line after 4 PM = unknown/likely voicemail (not verified). No answering-service or AI-receptionist vendor in page source.</t>
        </is>
      </c>
      <c r="BH8" s="8" t="inlineStr">
        <is>
          <t>None. Owner CTA is a "Get a Free Rental Analysis" form (/free-rental-analysis); residents apply/pay/request repairs via Rent Manager and Property Meld portals. No scheduling vendor script (calendly/acuity/etc.) in source.</t>
        </is>
      </c>
      <c r="BI8" s="8" t="inlineStr">
        <is>
          <t>None (no tidio/intercom/drift/tawk/podium/birdeye/textline scripts in homepage source; no "text us" wording). Contact page: "Every message here reaches a real person in our Boise office."</t>
        </is>
      </c>
      <c r="BJ8" s="8" t="inlineStr">
        <is>
          <t>Squarespace (CMS; site ID timestamp decodes to 2026-05-09), ClearLead Digital (web/SEO/GEO agency, footer credit), Rent Manager (owner/resident portals), Property Meld (repair requests), Google Tag Manager/gtag, Google reviews widget. Not found: CallRail/CTM, chat, scheduling, answering service, AI receptionist, Meta pixel.</t>
        </is>
      </c>
      <c r="BK8" s="8" t="inlineStr">
        <is>
          <t>Not checked — Google Ads Transparency Center and Meta Ad Library could not be opened in this pass and the search budget was exhausted; page source shows GTM/gtag but no gclid/call-tracking swap or fbq pixel.</t>
        </is>
      </c>
      <c r="BL8" s="8" t="inlineStr">
        <is>
          <t>Not checked — Perplexity returned 403/429 and WebSearch budget was exhausted, so no money-question spot check ran. Important: ClearLead Digital (credited in footer) sells "AI search optimization (GEO and AEO)" to PM companies and the site already carries LocalBusiness + FAQPage JSON-LD, so per rubric D4 = 0 and the GEO audit is NOT the door-opener here.</t>
        </is>
      </c>
      <c r="BM8" s="8" t="inlineStr">
        <is>
          <t>PASS. Chain/franchise: no (independent; Idaho SOS CAPITAL PROPERTY MANAGEMENT INC. 609575 Active-Good Standing, registered agent Andrea Mayer; ABN SMART MOVE PROPERTY MANAGEMENT 601311 Active-Current; single office). Website: live, own domain. Live US business: sitemap updated 2026-10-13, SOS AR due 2027. Inbound channel: phone + form + portals. Competitor/non-buyer: no. Already automated both fronts: no AI phone agent found; GEO vendor present (one front only — not a disqualifier; flags "voice wedge only"). Suppression/seen lists: no match on name, domain, or phone. NOT RUN HERE: GHL 'E4L Services' dedupe via ghl-contacts.js — orchestrator must run before load.</t>
        </is>
      </c>
      <c r="BN8" s="8" t="inlineStr">
        <is>
          <t>D1 Decision-maker reachable: 14/20 — full name + role from site team/profile pages, Idaho SOS registered agent (CAPITAL PROPERTY MANAGEMENT INC., 609575), BBB "Andrea M, President", Expertise; personal email andrea@smartmovepm.com verified as mailto in raw HTML of https://www.smartmovepm.com/andrea-mayer plus direct ext. 100; no owner LinkedIn/social secondary channel found (search budget), so 14 not 20. | D2 Phone/after-hours gap: 9/15 — phone in body/footer not header, owner CTA is the Free Rental Analysis form; 24/7 emergency claim vs "Monday through Friday from 9 AM to 4 PM" (contact-us); an after-hours line (402-512-6423) is published but not confirmed as staffed 24/7; GBP hours not opened. | D3 Lead-response leak: 5/15 — one signal type (contact friction: no scheduling, no chat/text, form with no turnaround, verified in page source); reviews/job boards NOT checked (Google text not opened, Yelp 403, Indeed 403, careers 404); site widget quotes praise responsiveness. | D4 AI-search gap: 0/10 — GEO/SEO vendor credited (ClearLead Digital, "AI search optimization (GEO and AEO)") AND LocalBusiness + FAQPage JSON-LD present; no AI platform could be checked. | D5 ICP fit/ability to pay: 15/15 — independent single office, named owner; EXTEND niche fit 4/5; proxies: since 2005 / SOS 2014, 100+ Google reviews (179-308), 5 named staff, ~225 doors at 9% monthly (recurring), 5-city service area, 24/7 emergency claim. | D6 Timing + spend: 11/15 — new site/blog burst (sitemap lastmod Sep-Oct 2026, site ID May 2026) + awards 2025 = trigger 61-180 days; spend group (d) agency credit + GTM present; (a)(b)(c)(e) not checkable this pass (log: Ads Transparency/Meta Ad Library/LSA not opened). | D7 Attitude/stack: 6/10 — net 3+ positives (modern site, tech adoption, owner-bylined posts within 60 days, awards/NARPM leadership) but a bundled PM-vertical agency (ClearLead) is present: GEO wedge closed, voice wedge open. TOTAL 60 = QUALIFIED, TRUSTED (6 of 7 dimensions evidenced; D1 positive; D2 direct hours quote; D5 evidenced). Caveat: GHL 'E4L Services' dedupe (ghl-contacts.js) was not run in this subagent — orchestrator must run it before load.</t>
        </is>
      </c>
      <c r="BO8" s="8" t="inlineStr">
        <is>
          <t>https://www.smartmovepm.com/andrea-mayer, https://www.smartmovepm.com/contact-us, https://www.smartmovepm.com/, https://www.smartmovepm.com/meet-our-team, https://www.smartmovepm.com/about-us, https://www.smartmovepm.com/pricing, https://www.smartmovepm.com/blog/best-property-managers-in-boise, https://www.smartmovepm.com/sitemap.xml, https://www.smartmovepm.com/services, https://www.smartmovepm.com/testimonials, https://sosbiz.idaho.gov/api/FilingDetail/business/609575/false, https://sosbiz.idaho.gov/api/FilingDetail/business/601311/false, https://www.bbb.org/us/id/boise/profile/property-management/smart-move-property-management-1296-1000017527, https://www.expertise.com/id/meridian/property-management, https://www.linkedin.com/company/smartmovepm, https://clearleaddigital.com/, https://opencorporates.com/companies/us_id/0000609575</t>
        </is>
      </c>
      <c r="BP8" s="8" t="inlineStr">
        <is>
          <t>Medium</t>
        </is>
      </c>
      <c r="BQ8" s="8" t="inlineStr">
        <is>
          <t>Title detail: President (MPM, RMP); founder — "Andrea started Smart Move in 2005 with a single rental house" is on https://www.smartmovepm.com/andrea-mayer (not the About page; About page says the company "began in 2005 on the floor of a Boise Bench home"); Registered Agent of Idaho SOS filing 609575 (General Business Corporation, Active-Good Standing). 1) GEO is OFF the table as an opener: footer agency ClearLead Digital sells "AI search optimization (GEO and AEO)" to PM firms and the site already has LocalBusiness + FAQPage schema; Smart Move's logo is in ClearLead's "Trusted By" wall. Lead voice-only and say plainly you are not touching the site or search. 2) Legal entity for GHL/invoicing: CAPITAL PROPERTY MANAGEMENT INC. dba Smart Move Property Management (Idaho SOS 609575 / ABN 601311). BBB page also references "Capital Property Management" — same entity. 3) Founding year CONFLICT (site 2005, BBB schema 2003, corp 2014): use "20 years", never a specific anniversary. 4) The 402-512-6423 after-hours number: nowhere does the site say who answers it (staff cell vs. answering service vs. vendor). Sam should ask "who picks up the main line after four?" rather than assume voicemail. 5) Gaps in this pass: Google review text and owner-reply rate not opened, Yelp/Indeed/Instagram/Facebook blocked, Perplexity/ChatGPT spot-check not run, Ads Transparency/Meta Ad Library not opened, Wayback blocked (new-site date comes from Squarespace site-ID timestamp + sitemap lastmods), owner LinkedIn X-ray not run (WebSearch budget exhausted), MX record not verified (dig unavailable) — Rozel should MX-check smartmovepm.com before the send. D3 is the weak dimension; a Google-review read for "call/voicemail/respond" could move it. 6) Review-count conflict: Expertise says 179 Google, site widget says 308 — refresh from GBP. 7) Her blog post literally lists "How are after-hours calls handled?" as a question owners should ask — strongest personalization hook; use it as a question, not a gotcha. 8) Route: email (confirmed personal address) same day + Sam call within 48 hrs; demo_build = yes (D2 = 9, site scrapable); run_geo_audit = no.</t>
        </is>
      </c>
      <c r="BR8" s="10" t="inlineStr"/>
      <c r="BS8" s="10" t="inlineStr"/>
      <c r="BT8" s="10" t="inlineStr"/>
    </row>
    <row r="9" ht="120" customHeight="1">
      <c r="A9" s="8" t="inlineStr">
        <is>
          <t>20261013-08</t>
        </is>
      </c>
      <c r="B9" s="8" t="inlineStr">
        <is>
          <t>2026-10-13</t>
        </is>
      </c>
      <c r="C9" s="8" t="n">
        <v>2</v>
      </c>
      <c r="D9" s="10" t="inlineStr"/>
      <c r="E9" s="10" t="inlineStr">
        <is>
          <t>New</t>
        </is>
      </c>
      <c r="F9" s="8" t="n">
        <v>57</v>
      </c>
      <c r="G9" s="8">
        <f>IF(F9="","",IF(F9&gt;=80,"A — send today",IF(F9&gt;=60,"B — worth a touch",IF(F9&gt;=40,"C — hold","D — reject"))))</f>
        <v/>
      </c>
      <c r="H9" s="8" t="inlineStr">
        <is>
          <t>Kemly Electric, Inc.</t>
        </is>
      </c>
      <c r="I9" s="8" t="inlineStr">
        <is>
          <t>Adam</t>
        </is>
      </c>
      <c r="J9" s="8" t="inlineStr">
        <is>
          <t>Kemly</t>
        </is>
      </c>
      <c r="K9" s="8" t="inlineStr">
        <is>
          <t>Owner</t>
        </is>
      </c>
      <c r="L9" s="8" t="inlineStr">
        <is>
          <t>info@kemlyelectric.com</t>
        </is>
      </c>
      <c r="M9" s="8" t="inlineStr">
        <is>
          <t>Generic (info@/office@)</t>
        </is>
      </c>
      <c r="N9" s="8" t="inlineStr">
        <is>
          <t>Confirmed</t>
        </is>
      </c>
      <c r="O9" s="8" t="inlineStr">
        <is>
          <t>Not found (only the office line (206) 782-1670 is published anywhere)</t>
        </is>
      </c>
      <c r="P9" s="8" t="inlineStr">
        <is>
          <t>+1 206-782-1670</t>
        </is>
      </c>
      <c r="Q9" s="8" t="inlineStr">
        <is>
          <t>Electrical contractor (residential + commercial service, panel upgrades, EV chargers, generators)</t>
        </is>
      </c>
      <c r="R9" s="8" t="inlineStr">
        <is>
          <t>core</t>
        </is>
      </c>
      <c r="S9" s="8" t="inlineStr">
        <is>
          <t>Seattle (Ballard)</t>
        </is>
      </c>
      <c r="T9" s="8" t="inlineStr">
        <is>
          <t>WA</t>
        </is>
      </c>
      <c r="U9" s="8" t="inlineStr">
        <is>
          <t>Adam and Chris took over in 2024 and are the ones deciding how the next chapter of a 1991 family name gets answered; the site still carries the parents' era (copyright 2023, blog stopped June 2024, no booking/chat), so nothing has been rebuilt yet and there is no incumbent agency to displace. Seattle is heading into heating season and the EV-charger / panel-upgrade lines they promote are exactly the high-ticket calls that come in evenings and weekends when the office is closed.</t>
        </is>
      </c>
      <c r="V9" s="8" t="inlineStr">
        <is>
          <t>Family-Legacy Pride Brand (secondary: Overwhelmed Owner-Operator cues unverified; review replies unreadable this run)</t>
        </is>
      </c>
      <c r="W9" s="8" t="inlineStr">
        <is>
          <t>Voice AI live demo built from kemlyelectric.com, positioned as after-hours and overflow coverage for the 24/7 emergency line (never as replacing the office); missed-call text-back as the second piece. Hold the GEO audit until it has actually been run.</t>
        </is>
      </c>
      <c r="X9" s="8" t="inlineStr">
        <is>
          <t>Recover</t>
        </is>
      </c>
      <c r="Y9" s="8" t="inlineStr">
        <is>
          <t>Who picks up at Kemly after 3 PM?</t>
        </is>
      </c>
      <c r="Z9" s="8" t="inlineStr">
        <is>
          <t>Adam, your contact page says the office runs 7:30 to 3 and weekends are emergency-only, while the homepage promises 24/7 — I was curious who catches the panel and EV-charger calls that come in after three.</t>
        </is>
      </c>
      <c r="AA9" s="8" t="inlineStr">
        <is>
          <t>Missed-call / after-hours coverage, framed as protecting the Kemly name into its second generation. Lead with their own site's gap (office 7:30-3:00, weekends emergency-only, '24/7' on the homepage), then the proof lever: a demo line trained on kemlyelectric.com they can call and try to break before paying anything. Go-live is one conditional call-forwarding rule for missed/busy calls; rollback is one dial code. Keep it technical and plain, no hype, no 'AI' in the first sentence. Ask #1: 20-minute Game Plan Call with Sebastian. Ask #2: an email address for the free AI-visibility audit (run it first).</t>
        </is>
      </c>
      <c r="AB9" s="8" t="inlineStr">
        <is>
          <t>'Our office answers during the day and emergencies go to a tech's phone — we're not missing much.' Response: agree, then ask how after-3 PM and weekend calls get captured and booked today, and offer the demo number as a no-cost way to hear it. Secondary: price sensitivity (small-team electrical shop per niche playbook) — no numbers on the call; route to the Game Plan Call. Tertiary: 'we don't want a robot answering for a family business' — position as after-hours/overflow only, trained on their own 35-year story.</t>
        </is>
      </c>
      <c r="AC9" s="8" t="inlineStr">
        <is>
          <t>"Hi, is this Adam? Adam, it's Sam with Eat 4 Life Marketing — this is a cold call, so you're welcome to hang up on me. I was on kemlyelectric.com this morning: your office runs 7:30 to 3, weekends are emergency-only, but the homepage promises 24/7 — so I got curious who's catching the panel and EV-charger calls that come in after three. We build a receptionist trained on Kemly's own site that picks up the calls that would hit voicemail, qualifies the caller, and books the estimate — and there's a demo line you can call and try to break before anybody pays a dollar. Can I take 20 seconds to tell you how it works, and you tell me if it's worth a longer look?"</t>
        </is>
      </c>
      <c r="AD9" s="8" t="inlineStr">
        <is>
          <t>Tue-Thu 7:30-8:15 AM PT, the first 45 minutes the office line is staffed and before crews dispatch (site lists office hours starting 7:30; a 35-year family shop with the owners' names on the door usually has an owner in the office at open). Backup window: 2:15-3:00 PM PT before the office closes at 3:00. Do not call after 3:00 PM PT; the site says weekends are emergency-only, so no weekend dials.</t>
        </is>
      </c>
      <c r="AE9" s="8" t="inlineStr">
        <is>
          <t>Site Contact page verbatim: 'M-F: 7:30am – 3pm' and 'S-S: Emergency Services Only'; Commercial page: 'Our office is open 7:30 AM – 3:00 PM, Monday – Friday.' GBP (serviceagent.ai mirror): Mon-Fri 7:30 AM-3:30 PM; Saturday Closed; Sunday Closed. Site also says 'For emergency service in the greater Seattle area, 24 hours a day, call (206) 782-1670.'</t>
        </is>
      </c>
      <c r="AF9" s="8" t="inlineStr">
        <is>
          <t>America/Los_Angeles (Pacific Time)</t>
        </is>
      </c>
      <c r="AG9" s="8" t="inlineStr">
        <is>
          <t>Only published number is the office line +1 206-782-1670 (site, BBB, Checkbook, GBP mirror agree); site says 'Office: 7:30 AM to 3:00 PM, Monday through Friday', so expect office staff to answer in hours. No office manager, dispatcher, or scheduler is named anywhere public (site, LinkedIn company page, Checkbook, BBB); no answering service named; after-hours handling unstated. Ask for 'Adam or Chris Kemly' by name; if asked what it's regarding, say 'their after-hours phone line — I'm not selling anything on this call, just want 20 seconds with one of the owners.' If the owners are in the field, ask when they are usually in the office (likely open and close) rather than leaving a message with info@. Do not call outside 7:30-3:00 PT weekdays; the site says weekends are emergency-only and WA has mini-TCPA rules, so manual dial only.</t>
        </is>
      </c>
      <c r="AH9" s="8" t="inlineStr">
        <is>
          <t>The 2024 handoff from Brian and Kathleen to Adam and Chris (site About) is the safest, most specific opener: a second-generation owner deciding how the next 30 years of the Kemly name get answered. Pair it with the after-hours gap on their own Contact page (office 7:30-3:00, weekends emergency-only, homepage says 24/7).</t>
        </is>
      </c>
      <c r="AI9" s="8" t="inlineStr">
        <is>
          <t>1) After-hours gap (direct): 'you need 24/7' (home) vs 'M-F: 7:30am – 3pm' / 'S-S: Emergency Services Only' (contact page) with no named after-hours coverage. 2) Contact friction (direct): no booking, no chat/text, form (Name, Email, Phone, Regarding, Project Address, Message) with no response promise. 3) Yelp 'typical response time of about one day' (scout snippet; UNVERIFIED, Yelp 403 on both research and skeptic passes; do not quote until confirmed). 4) High-ticket inbound lines (EV chargers, panels, generators, GreenSky for $5k+ jobs) riding on a single office number staffed 7.5 hours a day.</t>
        </is>
      </c>
      <c r="AJ9" s="8" t="inlineStr">
        <is>
          <t>Ownership succession: 'In 2024, their sons, Adam and Chris Kemly, took over the business' (site About; undated within 2024, older than 180 days, so not scored as a D6 trigger but a real hook). Homepage content last modified 2024-10-07 (JSON-LD dateModified). Blog burst June 3-20, 2024 (EV charger and panel-upgrade posts). BambooHR careers: 0 open roles (2026-10-14). Seasonal: Seattle heading into winter heating season (site lists 'home heating solutions'); vertical calendar only, no business-specific evidence.</t>
        </is>
      </c>
      <c r="AK9" s="8" t="inlineStr">
        <is>
          <t>Website (3 signals): 'family-owned and operated electrical company' founded 1991 by Brian and Kathleen Kemly, sons Adam and Chris 'took over the business' in 2024 (https://www.kemlyelectric.com/about-kemly-electric/); surname on the business and 'Serving Seattle since 1991' (https://www.kemlyelectric.com/); values copy 'integrity, safety, and care', 'customers come first'. Second source category: LinkedIn company page 'Founded 1991', privately held, Chris Kemly listed (https://www.linkedin.com/company/kemly-electric-inc); BBB principal still the founder 'Brian Kemly, Owner' with 0 complaints (https://www.bbb.org/us/wa/seattle/profile/electrician/kemly-electric-1296-27028029). Confidence: medium (3+ signals, 2 source categories). Not observed: review-reply tone (Google/Yelp unreadable), social cadence (Facebook unreadable).</t>
        </is>
      </c>
      <c r="AL9" s="8" t="inlineStr">
        <is>
          <t>CONFIRMED (site About): company 'Founded by Brian and Kathleen Kemly in 1991... In 2024, their sons, Adam and Chris Kemly, took over the business' (https://www.kemlyelectric.com/about-kemly-electric/). Second-generation owners. BBB still lists 'Brian Kemly, Owner' (stale). OpenCorporates: registered agent ADAM KEMLY at the business address; '3 officers available' behind login. No interviews, podcasts, trade-school or military statements found; prior career: Not found.</t>
        </is>
      </c>
      <c r="AM9" s="8" t="inlineStr">
        <is>
          <t>OBSERVED from site copy only (no review replies readable): 'customers come first'; 'quality workmanship and honest service'; 'integrity, safety, and care'; 'continuing the tradition of excellence and community focus' (About page). 'Trusted Electrical Service Since 1991' headline. Tone: professional, family-legacy, non-salesy; no first-person owner voice on the site. Checkbook 'Top Rated for Quality' and BBB 0 complaints in 3 years support a reputation-first identity. Niche playbook: electricians are technical, pragmatic, allergic to hype, and will call the demo to try to break it.</t>
        </is>
      </c>
      <c r="AN9" s="8" t="inlineStr">
        <is>
          <t>Owner-operator</t>
        </is>
      </c>
      <c r="AO9" s="8" t="inlineStr">
        <is>
          <t>Not found (personal profile not verifiable: LinkedIn returned 999). Company page: https://www.linkedin.com/company/kemly-electric-inc lists 'Chris Kemly' as an employee; 113 followers, 11-50 employees.</t>
        </is>
      </c>
      <c r="AP9" s="8" t="inlineStr">
        <is>
          <t>Company Facebook: https://www.facebook.com/KemlyElectric/ (linked from site; content not readable logged-out). Twitter/Instagram icons on site point to '#' placeholders. No owner personal socials found.</t>
        </is>
      </c>
      <c r="AQ9" s="8" t="inlineStr">
        <is>
          <t>https://www.kemlyelectric.com</t>
        </is>
      </c>
      <c r="AR9" s="8" t="inlineStr">
        <is>
          <t>info@kemlyelectric.com (mailto on home, About, Contact, EV pages; MX lookup not possible in this sandbox)</t>
        </is>
      </c>
      <c r="AS9" s="8" t="inlineStr">
        <is>
          <t>1148 NW 50th Street, Seattle, WA 98107 (site Contact page; matches OpenCorporates registered-agent address)</t>
        </is>
      </c>
      <c r="AT9" s="8" t="inlineStr">
        <is>
          <t>98107</t>
        </is>
      </c>
      <c r="AU9" s="8" t="inlineStr">
        <is>
          <t>Seattle and the Puget Sound region (site home); scout listed Burien, Shoreline, Bellevue, Mercer Island, Renton</t>
        </is>
      </c>
      <c r="AV9" s="8" t="inlineStr">
        <is>
          <t>Not found as a canonical place URL (Maps not fetchable this run); search link: https://www.google.com/maps/search/Kemly+Electric+1148+NW+50th+St+Seattle+WA</t>
        </is>
      </c>
      <c r="AW9" s="8" t="inlineStr">
        <is>
          <t>4.7 (93 Google reviews per serviceagent.ai GBP mirror, 2026-10-14; not read directly on Google)</t>
        </is>
      </c>
      <c r="AX9" s="8" t="inlineStr">
        <is>
          <t>93 Google (mirror); Yelp ~89 at 4.5-4.6 (scout snippet; Yelp returned 403 today); Checkbook 69 ratings, 83% 'superior', 'Top Rated for Quality'</t>
        </is>
      </c>
      <c r="AY9" s="8" t="inlineStr">
        <is>
          <t>1991 (site: 'Serving Seattle since 1991'; LinkedIn company page 'Founded 1991'); BBB foundingDate 1993-01-01 (within 2 years = CONFIRMED). ~35 years. WA UBI 601640069, status Active, WA Profit Corporation.</t>
        </is>
      </c>
      <c r="AZ9" s="8" t="inlineStr">
        <is>
          <t>11-50 per LinkedIn company page ('View all 17 employees'); site references 'master and journeyman service electricians'; testimonial names electricians Mark and Corey</t>
        </is>
      </c>
      <c r="BA9" s="8" t="inlineStr">
        <is>
          <t>1 (single office, 1148 NW 50th St; no locations page)</t>
        </is>
      </c>
      <c r="BB9" s="8" t="inlineStr">
        <is>
          <t>Residential: emergency service repairs, fuse panel replacement, service panel repairs/upgrades, EV chargers (Tesla, ChargePoint, Enel X), smart home wiring, recessed lighting, hot tub circuits, CAT6, kitchen upgrades; Generator backup (Generac, Kohler); Commercial: restaurant build-outs, tenant improvements, commercial wiring; knob-and-tube rewiring (LinkedIn description)</t>
        </is>
      </c>
      <c r="BC9" s="8" t="inlineStr">
        <is>
          <t>basic (SSL, WordPress/Divi, contact form, GTM/gtag; no online booking, no chat, no text-us). Leaning modern on back office: GreenSky financing portal, BambooHR careers portal, PayMyBill page.</t>
        </is>
      </c>
      <c r="BD9" s="8" t="inlineStr">
        <is>
          <t>diy (WordPress/Divi site with no agency credit; 5 blog posts all dated June 2024 then nothing; no pixels, no call tracking; no ads detected in the checks that were possible)</t>
        </is>
      </c>
      <c r="BE9" s="8" t="inlineStr">
        <is>
          <t>established, possibly plateau (35 years, 17 LinkedIn employees, 93 Google reviews; but footer copyright 2023, homepage last modified 2024-10-07 per JSON-LD, blog stopped June 2024, 0 open roles on BambooHR as of 2026-10-14)</t>
        </is>
      </c>
      <c r="BF9" s="8" t="inlineStr">
        <is>
          <t>unknown (Google reviews not readable: Maps not fetchable; Yelp 403; Checkbook shows no owner replies)</t>
        </is>
      </c>
      <c r="BG9" s="8" t="inlineStr">
        <is>
          <t>GAP (direct). Homepage: 'Contact us anytime for emergency service or electrical repairs that you need 24/7' (https://www.kemlyelectric.com/). Contact page verbatim: 'M-F: 7:30am – 3pm', 'S-S: Emergency Services Only', 'For emergency service in the greater Seattle area, 24 hours a day, call (206) 782-1670' (https://www.kemlyelectric.com/contact/). Commercial page: 'Our office is open 7:30 AM – 3:00 PM, Monday – Friday.' GBP mirror hours Mon-Fri 7:30-3:30, Sat/Sun Closed (https://serviceagent.ai/directory/washington/seattle/electrician/kemly-electric/). No answering service, call center, AI receptionist, or after-hours line named anywhere on site. Who picks up the 24/7 line after 3 PM is unstated.</t>
        </is>
      </c>
      <c r="BH9" s="8" t="inlineStr">
        <is>
          <t>None. 'Schedule Now' / 'Get Free Consultation' CTAs lead to a plain contact form (Name, Email, Phone, Regarding: Estimate/Bid, Service Call, Information, Other; Project Address; Message) with no response-time promise. Page source has no calendly/acuity/housecallpro/servicetitan/jobber/square scripts (checked 2026-10-14).</t>
        </is>
      </c>
      <c r="BI9" s="8" t="inlineStr">
        <is>
          <t>None. No podium/birdeye/tidio/intercom/drift/tawk/livechat/textline/weave scripts in home, About, or Contact page source (2026-10-14).</t>
        </is>
      </c>
      <c r="BJ9" s="8" t="inlineStr">
        <is>
          <t>WordPress + Divi theme (divi-child), Divi Modal Popup, Divi Testimonial Extended; Google Tag Manager + gtag; GreenSky consumer financing ('projects exceeding $5,000'); BambooHR careers portal; JSON-LD present (Organization, WebSite, Article, BreadcrumbList) but no FAQPage/LocalBusiness. No Meta pixel, no CallRail/CTM, no Hotjar, no chat, no booking, no answering-service or AI-receptionist vendor.</t>
        </is>
      </c>
      <c r="BK9" s="8" t="inlineStr">
        <is>
          <t>Not detected. Page source: GTM/gtag only, no fbq, no call tracking. Google Ads Transparency Center for kemlyelectric.com showed no ads in the readable portion (page truncated; inconclusive). Meta Ad Library, Google LSA unit, Yelp Ads, and Sponsored SERP checks could not be run this session (search budget exhausted / JS pages). Treat as null, not confirmed-none.</t>
        </is>
      </c>
      <c r="BL9" s="8" t="inlineStr">
        <is>
          <t>not checked (no ChatGPT/Perplexity/Gemini access and web search budget exhausted this run). Schema note: site carries Organization/WebSite/Article JSON-LD only, no FAQPage or LocalBusiness; robots.txt allows all crawlers. D4 scored 0 / NO EVIDENCE; run the free audit before any email claim.</t>
        </is>
      </c>
      <c r="BM9" s="8" t="inlineStr">
        <is>
          <t>PASS. Chain/franchise: no (independent family corp, 1 location, surname brand). Website: live own-domain WordPress site, HTTP 200. Live US business: WA Profit Corporation, status Active (OpenCorporates UBI 601640069); GBP mirror shows normal hours; BBB 0 complaints. Inbound channel: office phone + contact form + info@ email. Competitor/non-buyer: no (electrical contractor). Already automated: no AI receptionist or GEO vendor detected. Suppression.csv and seen.csv: no match for 'kemly' or kemlyelectric.com. NOT run: GHL 'E4L Services' dedupe by domain/phone (ghl-contacts.js) — run before loading.</t>
        </is>
      </c>
      <c r="BN9" s="8" t="inlineStr">
        <is>
          <t>D1: 8/20 — Full names + role on business-controlled page ('sons, Adam and Chris Kemly, took over the business', https://www.kemlyelectric.com/about-kemly-electric/) corroborated by OpenCorporates registered agent ADAM KEMLY (https://opencorporates.com/companies/us_wa/601640069) and LinkedIn company page (Chris Kemly); contact is generic info@ mailbox + staffed office line only; no owner email, direct line, or confirmed owner LinkedIn URL. Call-first / DEMO PATH. | D2: 15/15 — Phone-first (tel links in header and every service block, 'Call Us' CTAs) AND direct gap proof: homepage '24/7' vs contact page 'Office: 7:30 AM to 3:00 PM, Monday through Friday' / 'Weekends: Emergency services only' and GBP mirror 'Saturday Closed, Sunday Closed'; electrical is on the inherently urgent list; no answering service/AI receptionist anywhere. | D3: 10/15 — 2 signal types: (5) booking/contact friction verified in page source (no booking, no chat/text, no response promise) and (4) Yelp 'typical response time of about one day' (scout snippet; not re-verified today, Yelp 403 — Rozel to confirm). Owner reply rate and job posts: BambooHR 0 open roles; Google/Yelp reviews unreadable. | D4: 0/10 — NO EVIDENCE: no AI platform could be queried this run; schema check done (no FAQPage/LocalBusiness). Not inferred. | D5: 15/15 — (a) independent family-owned, 1 location, named owners; (b) electrical = core niche; (c) proxies: since 1991 (site, LinkedIn, BBB 1993), ~250 reviews across Google 93 / Yelp ~89 / Checkbook 69, LinkedIn 11-50 employees (17 listed), GreenSky financing for $5k+ projects, EV/panel/generator tickets, Seattle + Puget Sound service area, 24/7 emergency claim. | D6: 3/15 — Soft activity only: ownership change in 2024 (undated, &gt;180 days), homepage modified 2024-10-07, blog June 2024. Spend checklist: (a) Google Ads: Transparency Center readable portion empty, SERP check not possible; (b) LSA: not checked; (c) Meta Ad Library: not checkable; (d) GTM/gtag only, no pixel/call tracking, no agency credit; (e) no paid directory/tool badges seen. 'First-agency opportunity'. | D7: 6/10 — Positives: adopts tech (GreenSky financing, BambooHR portal), SSL + maintained WordPress site, 17-person LinkedIn presence and next-gen owners (growth posture); negatives: copyright 2023, Twitter/Instagram placeholder links. Review-reply tone and social cadence unobserved. No incumbent agency. | TOTAL 57 = QUALIFIED band. Minimum-evidence: 6 of 7 dimensions with evidence, D1 positive citation, D2 direct quoted hours, D5 cited; hard-disqualifier pass PASS (active WA corp, own-domain site, single location, not a franchise, no suppression/seen match) but GHL sub-account dedupe (ghl-contacts.js) was not run this session, so mark TRUSTED pending that check. SEND TODAY gate not met (D4 not run).</t>
        </is>
      </c>
      <c r="BO9" s="8" t="inlineStr">
        <is>
          <t>https://www.kemlyelectric.com/about-kemly-electric/, https://www.kemlyelectric.com/contact/, https://www.kemlyelectric.com/, https://opencorporates.com/companies/us_wa/601640069, https://serviceagent.ai/directory/washington/seattle/electrician/kemly-electric/, https://www.linkedin.com/company/kemly-electric-inc, https://www.bbb.org/us/wa/seattle/profile/electrician/kemly-electric-1296-27028029, https://www.kemlyelectric.com/financing/, https://www.kemlyelectric.com/ev-charging/, https://www.kemlyelectric.com/residential-electrical-services/, https://www.checkbook.org/wa/ballard/electricians/kemly-electric/04a2d, https://kemlyelectric.bamboohr.com/careers/list, https://www.yelp.com/biz/kemly-electric-seattle, https://www.kemlyelectric.com/2024/06/, https://www.facebook.com/KemlyElectric/, https://adstransparency.google.com/?region=US&amp;domain=kemlyelectric.com</t>
        </is>
      </c>
      <c r="BP9" s="8" t="inlineStr">
        <is>
          <t>Medium</t>
        </is>
      </c>
      <c r="BQ9" s="8" t="inlineStr">
        <is>
          <t>Title detail: Owner (co-owner with brother Chris Kemly since 2024; registered agent of Kemly Electric, Inc.). Route: call-first (Sam) / DEMO PATH. D1 = 8: no owner email anywhere public, only info@kemlyelectric.com, so an email goes to a gatekeeper inbox — write it so an office manager can forward it to Adam or Chris. Address Adam (registered agent) and copy/mention Chris; the playbook's Family-Legacy guidance says the next-generation member is usually the champion, and here both are the owners. Do not say 'modernize' or imply the parents' way was wrong. Do not quote reviews (none were readable this run). Do not claim any AI-visibility result until the audit is actually run (D4 = 0, not checked). Verify before send: Yelp '~1 day response time' line (Yelp 403 today), GHL dedupe, and confirm the WA L&amp;I license KEMLYEI038DR principals if you want a government name source beyond OpenCorporates. Build the demo from kemlyelectric.com (phone-first, D2 = 15, site scrapes cleanly) if fewer than 5 SEND TODAY leads exist. Electrical in WA has no E4L case-study proximity; Sammy Electrical Services is the reference client for the niche.</t>
        </is>
      </c>
      <c r="BR9" s="10" t="inlineStr"/>
      <c r="BS9" s="10" t="inlineStr"/>
      <c r="BT9" s="10" t="inlineStr"/>
    </row>
    <row r="10" ht="120" customHeight="1">
      <c r="A10" s="8" t="inlineStr">
        <is>
          <t>20261013-09</t>
        </is>
      </c>
      <c r="B10" s="8" t="inlineStr">
        <is>
          <t>2026-10-13</t>
        </is>
      </c>
      <c r="C10" s="8" t="n">
        <v>2</v>
      </c>
      <c r="D10" s="10" t="inlineStr"/>
      <c r="E10" s="10" t="inlineStr">
        <is>
          <t>New</t>
        </is>
      </c>
      <c r="F10" s="8" t="n">
        <v>56</v>
      </c>
      <c r="G10" s="8">
        <f>IF(F10="","",IF(F10&gt;=80,"A — send today",IF(F10&gt;=60,"B — worth a touch",IF(F10&gt;=40,"C — hold","D — reject"))))</f>
        <v/>
      </c>
      <c r="H10" s="8" t="inlineStr">
        <is>
          <t>Kaufman Roofing</t>
        </is>
      </c>
      <c r="I10" s="8" t="inlineStr">
        <is>
          <t>Robert</t>
        </is>
      </c>
      <c r="J10" s="8" t="inlineStr">
        <is>
          <t>Kaufman</t>
        </is>
      </c>
      <c r="K10" s="8" t="inlineStr">
        <is>
          <t>Owner/President</t>
        </is>
      </c>
      <c r="L10" s="8" t="inlineStr">
        <is>
          <t>Not found</t>
        </is>
      </c>
      <c r="M10" s="8" t="inlineStr">
        <is>
          <t>None found</t>
        </is>
      </c>
      <c r="N10" s="8" t="inlineStr">
        <is>
          <t>Not found</t>
        </is>
      </c>
      <c r="O10" s="8" t="inlineStr">
        <is>
          <t>Not found. (A second number, (612) 915-2783, appears once in the site's page source with no label - unverified, do not use. BBB lists fax (612) 722-1021.)</t>
        </is>
      </c>
      <c r="P10" s="8" t="inlineStr">
        <is>
          <t>+1 612-722-0965</t>
        </is>
      </c>
      <c r="Q10" s="8" t="inlineStr">
        <is>
          <t>Roofing</t>
        </is>
      </c>
      <c r="R10" s="8" t="inlineStr">
        <is>
          <t>core</t>
        </is>
      </c>
      <c r="S10" s="8" t="inlineStr">
        <is>
          <t>Burnsville (serves Minneapolis-St. Paul metro)</t>
        </is>
      </c>
      <c r="T10" s="8" t="inlineStr">
        <is>
          <t>MN</t>
        </is>
      </c>
      <c r="U10" s="8" t="inlineStr">
        <is>
          <t>Minnesota is heading into the pre-winter roofing rush (ice-dam and hail-inspection pages live, three new blog posts in October 2026), the site's hours and address blocks are still blank placeholders so every caller defaults to the phone, and a 96-year family name should be the one AI assistants recommend when homeowners ask for a Twin Cities roofer.</t>
        </is>
      </c>
      <c r="V10" s="8" t="inlineStr">
        <is>
          <t>Family-Legacy Pride Brand (secondary: Growth-Minded Operator); confidence medium</t>
        </is>
      </c>
      <c r="W10" s="8" t="inlineStr">
        <is>
          <t>Voice AI live demo line built from kaufmanroofing.com (answers overflow and after-hours calls, books the free estimate / hail inspection) + missed-call text-back. Secondary: free AI Search Visibility audit (site already has FAQ schema, so lead with the audit result, not a site rebuild). Do NOT pitch a website - Hibu is the incumbent.</t>
        </is>
      </c>
      <c r="X10" s="8" t="inlineStr">
        <is>
          <t>Recover</t>
        </is>
      </c>
      <c r="Y10" s="8" t="inlineStr">
        <is>
          <t>Kaufman Roofing, since 1930 - who answers after hours?</t>
        </is>
      </c>
      <c r="Z10" s="8" t="inlineStr">
        <is>
          <t>Bob, 96 years roofing the Twin Cities and a 13-year Best of the Best run is rare, which is why it stood out that the office-hours box on kaufmanroofing.com is blank - a homeowner with a leak at 7pm can't tell if anyone is there to pick up.</t>
        </is>
      </c>
      <c r="AA10" s="8" t="inlineStr">
        <is>
          <t>Legacy-protection plus overflow coverage, not 'AI'. Kaufman already pays Hibu, Podium and Synchrony to bring calls in; five estimators and the crews are out on roofs, and the site never says who answers after the office closes. Position the receptionist as trained on Kaufman's own 1930 story so callers still reach 'Kaufman', answering only what rings out or comes in after hours, booking the free estimate straight away, with a demo number he can call before paying anything. Go-live is one conditional call-forwarding rule. Secondary ask: the free audit of whether ChatGPT/Gemini name Kaufman when Twin Cities homeowners ask for a roofer.</t>
        </is>
      </c>
      <c r="AB10" s="8" t="inlineStr">
        <is>
          <t>'We have office assistants and Podium - people can text us' / 'Hibu handles our marketing' / 'We've done fine since 1930.' Answer: nothing changes for the office or for Hibu - this only catches the calls that already ring out or land after hours, and it books them instead of leaving a voicemail; hear it on the demo line first, no commitment. Possible second gate: a CEO/COO layer exists on the team page, so Bob may defer to them.</t>
        </is>
      </c>
      <c r="AC10" s="8" t="inlineStr">
        <is>
          <t>Hi Bob, this is Sam with Eat 4 Life Marketing - this is a cold call, so feel free to hang up on me. I was on kaufmanroofing.com: 96 years, thirteen straight Best of the Best wins, and estimators who are certified drone pilots. The one thing I couldn't find is who picks up when a homeowner with a leak calls after the office closes. We build a demo line trained on Kaufman's own site that answers those calls and books the free estimate - can I take 20 seconds to tell you how it works, and you tell me if it's worth a real look?</t>
        </is>
      </c>
      <c r="AD10" s="8" t="inlineStr">
        <is>
          <t>Tue-Thu 7:30-8:30 AM CT (trades window, before estimators and crews dispatch; the office has two Office Assistants and coordinators, so the line should be staffed) or 4:00-5:30 PM CT as fallback. Ask for Bob Kaufman by name; if unavailable, ask for Tony Deutsch (Manager).</t>
        </is>
      </c>
      <c r="AE10" s="8" t="inlineStr">
        <is>
          <t>Not found - site 'OFFICE HOURS' block lists Monday-Sunday with no times (unfilled Yext placeholder on every page); contact page says 'call or text us anytime'; GBP hours not retrieved</t>
        </is>
      </c>
      <c r="AF10" s="8" t="inlineStr">
        <is>
          <t>America/Chicago (Central)</t>
        </is>
      </c>
      <c r="AG10" s="8" t="inlineStr">
        <is>
          <t>Main line 612-722-0965 is a staffed office line (team page: 2 Office Assistants, 2 Pre-Production and 2 Production Coordinators, Accounting, HR; names not rendered in page text). Second decision-maker per BBB: Tony Deutsch, Manager. Site also lists a CEO and COO (unnamed in text) and a Sales Manager - the Sales Manager may try to take the call; ask specifically for 'Bob Kaufman, the owner' and reference BBB if asked how you got the name. Contact-form auto-reply is signed 'The Folks at Kaufman Roofing' - no named receptionist. No answering service or IVR evidence; record who answers on first dial.</t>
        </is>
      </c>
      <c r="AH10" s="8" t="inlineStr">
        <is>
          <t>The 96-year / 'Best of the Best 13 Years Straight' combination (on homepage, undated) paired with a specific tech detail - five certified drone pilots on staff, including three of the five estimators (https://www.kaufmanroofing.com/the-kaufman-team, updated 2026-09-08). No dated win inside 90 days was found; blog post of 2026-10-13 is the freshest activity.</t>
        </is>
      </c>
      <c r="AI10" s="8" t="inlineStr">
        <is>
          <t>1) Checkbook review 2024-08-21: 'Several delays, followed by mad dash. Mediocre quality. Too many added costs.' (https://www.checkbook.org/mn/burnsville/roofers/kaufman-roofing/ayo23). 2) Site hours/address blocks are blank placeholders on every page ('OFFICE HOURS Monday Tuesday Wednesday Thursday Friday Saturday Sunday'; 'VISIT US ,') - the Yext integration was never completed (https://www.kaufmanroofing.com/contact). 3) No response-time promise: 'someone we will contact you shortly' / 'as soon as possible'. 4) BBB: 1 complaint in last 3 years (text not public), 0 BBB customer reviews. 5) Stale third-party listings (old Minneapolis address; wrong domain on Hook Agency). Scout's Angi 2024 leak/estimator review could not be verified (403) - do not cite.</t>
        </is>
      </c>
      <c r="AJ10" s="8" t="inlineStr">
        <is>
          <t>Soft only: blog posts 2026-10-01, 10-08, 10-13 (https://www.kaufmanroofing.com/blog); team page updated 2026-09-08 (sitemap); MN entity filing 6 Feb 2026 (OpenCorporates); Hook Agency 'Best Roofing Companies Minneapolis' listing updated 2026-01-09; seasonal: pre-winter roofing push in MN with hail-inspection and ice-dam pages live. No receptionist/CSR job post, redesign, or ownership change found within 60 days.</t>
        </is>
      </c>
      <c r="AK10" s="8" t="inlineStr">
        <is>
          <t>(1) Site: 'Family and Locally Owned Since 1930' / 'Roofing The Twin Cities Since 1930', surname on the business, License #BC648158 in header (https://www.kaufmanroofing.com/). (2) Site FAQ schema: 'never using high-pressure sales tactics' and 'educating our clients'. (3) BBB: accredited since 7/27/2004, A+ (reputation-conscious). (4) Hook Agency (2026-01-09): owner quote about employee character. (5) Growth signals: Podium chat, Synchrony financing, three October 2026 blog posts, ~30 staff, drone-pilot estimators. No hostile or anti-marketing statements found; review-reply tone unknown (GBP not readable).</t>
        </is>
      </c>
      <c r="AL10" s="8" t="inlineStr">
        <is>
          <t>Family business: 'We have been a family-owned and operated company since 1930' (site FAQ schema). Hook Agency: 'Owner, Bob Kaufman, emphasizes the importance of character to all his employees; he knows the character of a business is only as good as the character of its employees.' Generation count, prior career, military: Not found.</t>
        </is>
      </c>
      <c r="AM10" s="8" t="inlineStr">
        <is>
          <t>Values-first and anti-hard-sell: 'We believe in educating our clients and never using high-pressure sales tactics' (site FAQ schema); 'Honest, prompt, professional and very communicative' quoted as a customer review on /why-kaufman; contact-form reply signed 'Sincerely, The Folks at Kaufman Roofing' (warm, plainspoken); brags about certifications (GAF Master Elite, OC Platinum Preferred, CertainTeed Master Select), 'Best of the Best Award for 13 Years Straight', in-house metal shop and certified drone pilots. Team page lists a President, CEO and COO separately, so Bob likely runs with a management layer - expect delegation.</t>
        </is>
      </c>
      <c r="AN10" s="8" t="inlineStr">
        <is>
          <t>Unknown</t>
        </is>
      </c>
      <c r="AO10" s="8" t="inlineStr">
        <is>
          <t>Not found. Company page https://www.linkedin.com/company/kaufman-roofing (Construction, 2-10, 9 employees, 4 followers) lists a 'Bob Kachman' with no title - cannot confirm this is Bob Kaufman; do not use.</t>
        </is>
      </c>
      <c r="AP10" s="8" t="inlineStr">
        <is>
          <t>Company accounts only: https://facebook.com/KaufmanRoofing, https://instagram.com/kaufmanroofing (both linked from site), twitter.com/kaufmanroofing and a YouTube channel (per BBB; not readable this pass). Owner personal socials: Not found.</t>
        </is>
      </c>
      <c r="AQ10" s="8" t="inlineStr">
        <is>
          <t>https://www.kaufmanroofing.com</t>
        </is>
      </c>
      <c r="AR10" s="8" t="inlineStr">
        <is>
          <t>info@kaufmanroofing.com (Confirmed: visible on site footer, Contact and FAQ pages, https://www.kaufmanroofing.com/contact)</t>
        </is>
      </c>
      <c r="AS10" s="8" t="inlineStr">
        <is>
          <t>14330 Ewing Ave S, Burnsville, MN 55306-4884 (BBB; site JSON-LD; OpenCorporates registered address). Note: Hook Agency, Expertise.com and LinkedIn still show an older address, 2521 24th Ave S, Minneapolis 55406.</t>
        </is>
      </c>
      <c r="AT10" s="8" t="inlineStr">
        <is>
          <t>55306</t>
        </is>
      </c>
      <c r="AU10" s="8" t="inlineStr">
        <is>
          <t>Minneapolis, St. Paul and the Twin Cities metro incl. Lakeville, Minnetonka and southern suburbs (site FAQ + JSON-LD areaServed)</t>
        </is>
      </c>
      <c r="AV10" s="8" t="inlineStr">
        <is>
          <t>Not found (site's Google share link https://share.google/l4IF5W2odPXI8W8cw did not resolve to a Maps URL in this pass; GBP not retrievable)</t>
        </is>
      </c>
      <c r="AW10" s="8" t="inlineStr">
        <is>
          <t>4.8 (Expertise.com listing updated 2026-10-12)</t>
        </is>
      </c>
      <c r="AX10" s="8" t="inlineStr">
        <is>
          <t>219 Google reviews and Facebook 4.8 (35) per Expertise.com (2026-10-12); Checkbook.org 47 ratings, 76% 'superior'; BBB customer reviews 0; scout-reported GAF 4.8 (439) and HomeAdvisor 4.73 (208) could not be re-verified (GAF returned 403)</t>
        </is>
      </c>
      <c r="AY10" s="8" t="inlineStr">
        <is>
          <t>1930 (site 'Family and Locally Owned Since 1930'; JSON-LD foundingDate 1930; BBB structured founding 1930-01-01) = ~96 years. Entity: Kaufman Sheet Metal &amp; Roofing, Inc., MN domestic business corporation, native file no. 1U-239, status Active, most recent filing 6 Feb 2026 (OpenCorporates). BBB accredited since 7/27/2004.</t>
        </is>
      </c>
      <c r="AZ10" s="8" t="inlineStr">
        <is>
          <t>~30 (BBB 'Number of employees: 30'; team page shows ~28 staff photos incl. President, CEO, COO, Production Manager, Field Supervisor, 2 Production Coordinators, 2 Pre-Production Coordinators, 2 Accounting Specialists, 2 Office Assistants, HR Specialist, Sales Manager, 5 Estimators, metal shop). LinkedIn company page says 2-10 / 9 employees (undercount).</t>
        </is>
      </c>
      <c r="BA10" s="8" t="inlineStr">
        <is>
          <t>1 (Burnsville facility; the old Minneapolis address persists only on third-party directories)</t>
        </is>
      </c>
      <c r="BB10" s="8" t="inlineStr">
        <is>
          <t>Asphalt shingles, metal roofs, composite, flat roofs, slate &amp; tile (incl. maintenance), wood shakes, siding, gutters, in-house metal fabrication, multi-family, ice dams, roof inspection, storm/hail damage with insurance-claim handling, solar shingles page; residential + commercial</t>
        </is>
      </c>
      <c r="BC10" s="8" t="inlineStr">
        <is>
          <t>modern (bordering advanced): Podium webchat/text widget, Synchrony financing, Yext knowledge tags (installed but hours/address never filled), FAQPage + RoofingContractor JSON-LD, GTM/gtag + Meta pixel; no online scheduler; robots.txt opts in to AI input/training</t>
        </is>
      </c>
      <c r="BD10" s="8" t="inlineStr">
        <is>
          <t>agency_managed (Hibu website platform + Yext listings; regular SEO-style blog posts; no in-house marketing title on team page)</t>
        </is>
      </c>
      <c r="BE10" s="8" t="inlineStr">
        <is>
          <t>established (96 years, ~30 staff, 200+ Google reviews, site actively updated through Oct 2026)</t>
        </is>
      </c>
      <c r="BF10" s="8" t="inlineStr">
        <is>
          <t>unknown (Google Business Profile and Yelp not retrievable this pass; Checkbook has no owner replies)</t>
        </is>
      </c>
      <c r="BG10" s="8" t="inlineStr">
        <is>
          <t>Not found - no 24/7, emergency-line, answering-service or AI-receptionist statement anywhere on the site or in page source; hours block blank; the only promises are 'someone we will contact you shortly' (form auto-reply) and 'as soon as possible' (/what-to-expect)</t>
        </is>
      </c>
      <c r="BH10" s="8" t="inlineStr">
        <is>
          <t>None - 'Request Free Estimate' web form (/request-estimate-form) and a contact form only; no scheduler scripts (calendly/acuity/housecallpro/servicetitan/jobber) in page source</t>
        </is>
      </c>
      <c r="BI10" s="8" t="inlineStr">
        <is>
          <t>Yes - Podium webchat widget (connect.podium.com/widget.js) plus 'CALL OR TEXT 612-722-0965' CTA and a Hibu chat prompt 'Hi. Do you need any help?'</t>
        </is>
      </c>
      <c r="BJ10" s="8" t="inlineStr">
        <is>
          <t>Hibu (website platform, hibuwebsites.com CDN), Yext Knowledge Tags (unfilled placeholders), Podium (chat/text), Synchrony (consumer financing, 18-month no-interest plan), Google Tag Manager + gtag, Meta Pixel (fbq), FAQPage + RoofingContractor JSON-LD. No call tracking (CallRail/CTM) - same number on every page. Manufacturer programs: GAF Master Elite, Owens Corning Platinum Preferred, CertainTeed Master Select.</t>
        </is>
      </c>
      <c r="BK10" s="8" t="inlineStr">
        <is>
          <t>Not confirmed - Google Ads Transparency Center page could not be rendered; Meta Ad Library, Google LSA and Yelp Ads not checked (web-search budget exhausted this turn). Meta pixel on site indicates paid-social capability.</t>
        </is>
      </c>
      <c r="BL10" s="8" t="inlineStr">
        <is>
          <t>not checked (web-search budget exhausted this turn; ChatGPT/Perplexity/Gemini not accessible). Note for the audit: site already has FAQPage schema and robots 'ai-input=yes', and directories still carry the old Minneapolis address and a wrong domain (kaufman-roofing.com on Hook Agency) - listing inconsistency is a concrete GEO talking point.</t>
        </is>
      </c>
      <c r="BM10" s="8" t="inlineStr">
        <is>
          <t>PASS. Independent family-owned, single location, no franchise/PE language (site, BBB, OpenCorporates). Own-domain site live (HTTP 200, copyright 2026, blog post 2026-10-13). MN entity Active with a Feb 2026 filing. Inbound channels: phone, 'call or text', request-estimate form, contact form, Podium chat. Not a competitor category; residential roofing is primary (not commercial-only). No AI phone agent or answering service found in site copy or page source. Not in suppression.csv or seen.csv (grep on 'kaufman' and '612-722'). NOT DONE: GHL 'E4L Services' dedupe (ghl-contacts.js) could not be run from this session - Abdullah/Rozel must check before load.</t>
        </is>
      </c>
      <c r="BN10" s="8" t="inlineStr">
        <is>
          <t>D1 Decision-maker: 8/20 - Robert 'Bob' Kaufman, Owner/President cited on BBB (https://www.bbb.org/us/mn/burnsville/profile/roofing-contractors/kaufman-roofing-0704-571), registered agent 'Robert Kaufman' at the business address on the MN entity record (https://opencorporates.com/companies/us_mn/f061b7c4-a6d4-e011-a886-001ec94ffe7f), 'Owner, Bob Kaufman' on Hook Agency; but the only published email is generic info@ and no owner LinkedIn/direct line was found -&gt; call-first route. | D2 Phone gap: 15/15 - phone-first (header number, 'CALL OR TEXT 612-722-0965' CTA on every page); roofing is an inherently urgent niche; no mention of 24/7, answering service, call center or AI receptionist anywhere on site or in page source; site 'OFFICE HOURS' block prints 'Monday Tuesday Wednesday Thursday Friday Saturday Sunday' with no times (unfilled Yext placeholder, https://www.kaufmanroofing.com/contact); GBP hours not retrievable this pass. | D3 Leak evidence: 5/15 - one verbatim negative review, Checkbook 2024-08-21: 'Several delays, followed by mad dash. Mediocre quality. Too many added costs.' (https://www.checkbook.org/mn/burnsville/roofers/kaufman-roofing/ayo23) - project-delay, not phone-specific, and older than 18 months; no front-office job post found (careers page 404; Indeed blocked); booking friction does NOT count because Podium chat/text is live; GBP reply rate, Yelp response stats and the scout's Angi review could not be checked (403s). | D4 AI visibility: 0/10 NO EVIDENCE - AI spot-check not run (web-search budget exhausted this turn; no platform accessible). Site already carries FAQPage + RoofingContractor JSON-LD and robots.txt 'Content-Signal: ai-input=yes', so the GEO pitch is an audit/answer-page play, not a schema play. | D5 ICP fit: 15/15 - (a) family-owned since 1930, 1 location, named owner; (b) core roofing niche; (c) proxies: 96 years / BBB since 2004, 219+ Google reviews, ~30 staff (BBB + team page), Synchrony financing with 18-month no-interest plan (https://www.kaufmanroofing.com/financing), roofing ticket $8-15k, metro-wide service area. | D6 Buying signals: 7/15 - spend groups (d) Hibu website platform + Yext + Google Tag Manager + gtag + Meta pixel and (e) Podium widget + Synchrony; no dated hard trigger within 60 days (3 blog posts Oct 1/8/13 2026 and team page update 2026-09-08 are soft activity); Google Ads Transparency page unreadable, LSA / Meta Ad Library / Indeed not checked. | D7 Attitude: 6/10 - positives: modern site (c) 2026, pages updated through Oct 2026), tech adoption (Podium, financing, schema, drone-pilot estimators), growth posture ('Best of the Best Award for 13 Years Straight', GAF Master Elite / OC Platinum Preferred); no negatives observed; capped at 6 because Hibu is a bundled vertical agency (website + listings; no call-tracking or answering scripts found, so voice demo is still open). TOTAL 56 = QUALIFIED band. Trust: 6 of 7 dimensions evidenced, D1 positive, D2/D3 direct quotes, D5 evidenced -&gt; TRUSTED pending GHL dedupe.</t>
        </is>
      </c>
      <c r="BO10" s="8" t="inlineStr">
        <is>
          <t>https://www.kaufmanroofing.com/, https://www.kaufmanroofing.com/contact, https://www.kaufmanroofing.com/the-kaufman-team, https://www.bbb.org/us/mn/burnsville/profile/roofing-contractors/kaufman-roofing-0704-571, https://opencorporates.com/companies/us_mn/f061b7c4-a6d4-e011-a886-001ec94ffe7f, https://www.checkbook.org/mn/burnsville/roofers/kaufman-roofing/ayo23, https://hookagency.com/blog/best-roofing-companies-minneapolis/, https://www.expertise.com/home-improvement/roofing/minnesota/saint-paul, https://www.kaufmanroofing.com/what-to-expect, https://www.kaufmanroofing.com/why-kaufman, https://www.kaufmanroofing.com/financing, https://www.kaufmanroofing.com/faq, https://www.kaufmanroofing.com/blog, https://www.kaufmanroofing.com/sitemap.xml, https://www.kaufmanroofing.com/robots.txt, https://www.linkedin.com/company/kaufman-roofing, https://www.gaf.com/en-us/roofing-contractors/residential/usa/mn/burnsville/kaufman-roofing-1003664 (scout source; returned 403 for me)</t>
        </is>
      </c>
      <c r="BP10" s="8" t="inlineStr">
        <is>
          <t>Medium</t>
        </is>
      </c>
      <c r="BQ10" s="8" t="inlineStr">
        <is>
          <t>Title detail: Owner/President (BBB 'Business Management: Robert Kaufman, Owner/President'; registered agent on the MN entity record; 'Owner, Bob Kaufman' on Hook Agency). Second contact: Tony Deutsch, Manager (BBB).. Legal entity note: legal: Kaufman Sheet Metal &amp; Roofing, Inc.. Route: call-first (D1 = 8, generic mailbox only) - Sam dials with the owner's name; Sebastian's email can go to info@kaufmanroofing.com with gatekeeper-friendly copy addressed to Bob. Build the voice demo (D2 = 15, site is scrapable). Incumbent: Hibu owns the website and listings - do not pitch a site rebuild; Podium coexists (no penalty). Watch for delegation: team page shows a separate CEO and COO plus Tony Deutsch (Manager, BBB), so the champion may not be Bob. Hard holes to close before SEND TODAY: run the GEO money-question spot-check (D4 scored 0 NO EVIDENCE, not a negative), pull GBP hours/reply behavior, check Meta Ad Library and Indeed, and run the GHL dedupe. Scout figures I could not re-verify: GAF 4.8 (439), HomeAdvisor 4.73 (208), Angi 2024 review. Never quote the Checkbook review verbatim to the owner.</t>
        </is>
      </c>
      <c r="BR10" s="10" t="inlineStr"/>
      <c r="BS10" s="10" t="inlineStr"/>
      <c r="BT10" s="10" t="inlineStr"/>
    </row>
    <row r="11" ht="120" customHeight="1">
      <c r="A11" s="8" t="inlineStr">
        <is>
          <t>20261013-10</t>
        </is>
      </c>
      <c r="B11" s="8" t="inlineStr">
        <is>
          <t>2026-10-13</t>
        </is>
      </c>
      <c r="C11" s="8" t="n">
        <v>2</v>
      </c>
      <c r="D11" s="10" t="inlineStr"/>
      <c r="E11" s="10" t="inlineStr">
        <is>
          <t>New</t>
        </is>
      </c>
      <c r="F11" s="8" t="n">
        <v>56</v>
      </c>
      <c r="G11" s="8">
        <f>IF(F11="","",IF(F11&gt;=80,"A — send today",IF(F11&gt;=60,"B — worth a touch",IF(F11&gt;=40,"C — hold","D — reject"))))</f>
        <v/>
      </c>
      <c r="H11" s="8" t="inlineStr">
        <is>
          <t>New Life Contracting, Inc.</t>
        </is>
      </c>
      <c r="I11" s="8" t="inlineStr">
        <is>
          <t>Steve</t>
        </is>
      </c>
      <c r="J11" s="8" t="inlineStr">
        <is>
          <t>Virkus</t>
        </is>
      </c>
      <c r="K11" s="8" t="inlineStr">
        <is>
          <t>President</t>
        </is>
      </c>
      <c r="L11" s="8" t="inlineStr">
        <is>
          <t>Not found (only the generic hello@newlifecontracting.com is published; no firstname@ address on any public page)</t>
        </is>
      </c>
      <c r="M11" s="8" t="inlineStr">
        <is>
          <t>Generic (info@/office@)</t>
        </is>
      </c>
      <c r="N11" s="8" t="inlineStr">
        <is>
          <t>Confirmed</t>
        </is>
      </c>
      <c r="O11" s="8" t="inlineStr">
        <is>
          <t>Not found (no number is tied to Steve by name on any public page; BBB fax (952) 405-6106 is not a contact channel)</t>
        </is>
      </c>
      <c r="P11" s="8" t="inlineStr">
        <is>
          <t>+1 651-661-1323 (website primary, LocalBusiness JSON-LD, ThreeBestRated); second published line +1 651-224-3442 (site header, BBB, Checkbook). Both numbers identical across two page loads: no dynamic call-tracking swap.</t>
        </is>
      </c>
      <c r="Q11" s="8" t="inlineStr">
        <is>
          <t>Roofing (residential + commercial roof repair/replacement; also siding, windows, gutters, decks)</t>
        </is>
      </c>
      <c r="R11" s="8" t="inlineStr">
        <is>
          <t>core</t>
        </is>
      </c>
      <c r="S11" s="8" t="inlineStr">
        <is>
          <t>Saint Paul</t>
        </is>
      </c>
      <c r="T11" s="8" t="inlineStr">
        <is>
          <t>MN</t>
        </is>
      </c>
      <c r="U11" s="8" t="inlineStr">
        <is>
          <t>Minnesota is heading into ice-dam and leak season and the company's own newest blog post (Sept 22, 2026) is about attic condensation; those calls come at night and on weekends, exactly when the office is closed. The site has been advertising emergency tarping with an 8-to-5 office all year, and the neglected Hibu template (lorem ipsum, placeholder buttons) suggests nobody is minding inbound follow-up. No results are promised; this is a timing observation.</t>
        </is>
      </c>
      <c r="V11" s="8" t="inlineStr">
        <is>
          <t>Unclear</t>
        </is>
      </c>
      <c r="W11" s="8" t="inlineStr">
        <is>
          <t>Voice AI live demo line built from newlifecontracting.com, positioned as after-hours/weekend and on-the-roof overflow coverage for the emergency-tarping and storm calls, plus missed-call text-back. Free GEO audit as the second touch (run the spot-check first; none was possible this run).</t>
        </is>
      </c>
      <c r="X11" s="8" t="inlineStr">
        <is>
          <t>Recover</t>
        </is>
      </c>
      <c r="Y11" s="8" t="inlineStr">
        <is>
          <t>Steve — the Saturday roof call in St. Paul</t>
        </is>
      </c>
      <c r="Z11" s="8" t="inlineStr">
        <is>
          <t>Your site promises emergency tarping and same-day service, but the hours read Mon–Fri 8 to 5, closed weekends — so a St. Paul homeowner with a Saturday-night leak is already dialing the next roofer on Google.</t>
        </is>
      </c>
      <c r="AA11" s="8" t="inlineStr">
        <is>
          <t>Missed-call / after-hours angle, not the AI angle. Lead with the emergency-tarping promise vs. 8-to-5 hours, ask who picks up after 5 and on weekends, then offer the demo line trained on their own site that they can call before paying anything. Mention that nothing changes on the Hibu site: go-live is one conditional call-forwarding rule for missed/busy calls, rollback is one dial code. GEO audit is the second ask (email for the free AI visibility check).</t>
        </is>
      </c>
      <c r="AB11" s="8" t="inlineStr">
        <is>
          <t>"Hibu already does our marketing / website" -&gt; we don't touch the website; this only answers the calls the office already misses after 5 and on weekends, and books the estimate. Secondary: "We're a small shop, we answer our own phones" -&gt; agree, and ask what happens to the storm call at 9 pm Saturday; the demo covers only what currently goes to voicemail. Possible: "We're slow in winter" -&gt; winter is when ice-dam, condensation and leak calls come in off-hours (their own Sept 22 post is about condensation).</t>
        </is>
      </c>
      <c r="AC11" s="8" t="inlineStr">
        <is>
          <t>"Hi, this is Sam with Eat 4 Life Marketing — is this Steve? Steve, this is a cold call, so feel free to hang up, but give me twenty seconds. I was on newlifecontracting.com: you advertise emergency tarping and same-day service, but the office hours say Monday to Friday, eight to five, closed weekends. So when a St. Paul roof opens up on a Saturday night and the homeowner calls, who picks up — you, voicemail, or nobody? We build an AI receptionist trained on your own company that answers those calls, qualifies the caller and books the estimate, and we can build a demo line from your site you can call and hear before you pay a dollar. Worth twenty minutes to hear it?"</t>
        </is>
      </c>
      <c r="AD11" s="8" t="inlineStr">
        <is>
          <t>Tue–Thu 8:00–8:45 AM Central, right at opening before crews roll (office hours Mon–Fri 8–5, closed weekends per the site). Second window Tue–Thu 4:00–4:50 PM CT. BBB lists 2 employees, so the president is likely reachable on the office line; ask for Steve by name.</t>
        </is>
      </c>
      <c r="AE11" s="8" t="inlineStr">
        <is>
          <t>Mon–Fri 8:00 am–5:00 pm; Sat–Sun Closed (newlifecontracting.com/contact and openingHoursSpecification in the site's LocalBusiness JSON-LD; ThreeBestRated shows the same)</t>
        </is>
      </c>
      <c r="AF11" s="8" t="inlineStr">
        <is>
          <t>America/Chicago (Central Time)</t>
        </is>
      </c>
      <c r="AG11" s="8" t="inlineStr">
        <is>
          <t>No office manager, dispatcher or CSR is named on any public page (site has no team page; BBB lists 2 employees and Steve Virkus, President, as the only named person; Facebook/Instagram login-walled; review replies not retrievable). Expect either Steve himself or voicemail. Two published lines: +1 651-661-1323 (website primary) and +1 651-224-3442 (BBB/Checkbook, likely the original office line); try the second if the first rings out. Ask for 'Steve' (BBB spelling), not 'Steven'. Do not reference the SOS renewal lapses or the BBB complaints.</t>
        </is>
      </c>
      <c r="AH11" s="8" t="inlineStr">
        <is>
          <t>The gap between what the site promises and when the office is open: 'Emergency Tarping Available' / 'same-day services' / FAQ 'How quickly can your team respond to urgent roofing issues or storm damage?' sit next to 'Mon - Fri 8:00 am - 5:00 pm, Sat - Sun Closed' (https://www.newlifecontracting.com/ and /contact). Safe compliment fallback: 27 years since 1998 and GAF Master Elite President's Club status.</t>
        </is>
      </c>
      <c r="AI11" s="8" t="inlineStr">
        <is>
          <t>(1) Hours vs promise: 'Emergency Tarping Available' and 'Our quick turnaround times, same-day services, and emergency tarping options ensure that you're never left exposed to the elements' next to 'Mon - Fri 8:00 am - 5:00 pm / Sat - Sun Closed' (https://www.newlifecontracting.com/, /about, /contact). (2) Form promise only: 'Thank you for contacting us. We will get back to you as soon as possible.' (/). (3) No booking, no inquiry chat/text (page source). (4) Neglected template site: 'Request Lorem Epsom', 'Short title 8... Describe some quality or feature of the company', coupon button to (888) 555-1212, '{{placeholder_footer_reserve2}}' and empty 'Button' labels on /reviews, blog byline placeholder on /condensation. (5) BBB: 2 complaints in the last 3 years (text not retrievable). (6) Admin bandwidth: three annual-renewal lapses (2021, 2023, 2025) each followed by reinstatement on the MN SOS record - do NOT mention to the owner. Review-based responsiveness complaints: none found (Google/Yelp/BBB review text not retrievable this run; ThreeBestRated excerpts are positive).</t>
        </is>
      </c>
      <c r="AJ11" s="8" t="inlineStr">
        <is>
          <t>No dated trigger within 60 days found. Soft activity: Hibu blog posts dated Sept 22, Sept 18, Sept 17, Aug 19, Aug 18 2026 (https://www.newlifecontracting.com/blog). Seasonal (inferred, not business-specific): Minnesota entering ice-dam/condensation season; their own newest post is 'Condensation' (Sept 22, 2026). Job posts: not found (Indeed 403; search unavailable). SOS reinstatement 30 Jan 2025 is &gt;180 days old.</t>
        </is>
      </c>
      <c r="AK11" s="8" t="inlineStr">
        <is>
          <t>Fewer than 3 signals across 2 source categories, so no type is assigned. Observed: (1) owner's name absent from the site; marketing is outsourced to Hibu and the template was never finished ('Request Lorem Epsom', 'Short title 8', coupon button linking to (888) 555-1212, '{{placeholder_footer_reserve2}}' on /reviews, placeholder blog byline) - leans Absentee/Manager-Run or 'marketing is nobody's job' (https://www.newlifecontracting.com/, /reviews, /condensation). (2) Long-tenured family brand: 'family-owned and locally operated', est. 1998, GAF Master Elite, BBB A+ since 2020 - leans Family-Legacy (/about, bbb.org). (3) Tech posture is mixed: financing (Enhancify), SMS offer opt-in, FAQ schema all supplied by Hibu, no booking/chat. Contradicting evidence for any single type: none, but review replies, social voice and job posts could not be observed this run.</t>
        </is>
      </c>
      <c r="AL11" s="8" t="inlineStr">
        <is>
          <t>Self-stated/official: President of New Life Contracting, Inc. (BBB) and the corporation's registered agent (MN SOS via OpenCorporates). Third-party (LIKELY): Expertise.com says the company 'was founded in 1998 by Steven Virkus, who has 25 years of experience in the construction industry.' Company badges: GAF Master Elite 3-Star President's Club, BBB A+ accredited since 10/5/2020, MN license BC249486. Nothing else published about his career.</t>
        </is>
      </c>
      <c r="AM11" s="8" t="inlineStr">
        <is>
          <t>Not found. No owner voice anywhere public: the site is Hibu agency copy ("We're not just roofers; we're your neighbors"), blog byline is an unfilled template ("By [Update First Last in Content -&gt; Business Text -&gt; First Last field]"), Facebook/Instagram login-walled, Google review replies not retrievable this run. Observed brand posture: 'family-owned and locally operated', 27 years, GAF Master Elite, BBB A+.</t>
        </is>
      </c>
      <c r="AN11" s="8" t="inlineStr">
        <is>
          <t>Owner-operator</t>
        </is>
      </c>
      <c r="AO11" s="8" t="inlineStr">
        <is>
          <t>Not found (the linkedin.com/company/new-life-contracting-inc page is a different company headquartered in Denver, CO: do not use)</t>
        </is>
      </c>
      <c r="AP11" s="8" t="inlineStr">
        <is>
          <t>Company pages only, linked from the site's JSON-LD sameAs: https://facebook.com/NewLifeContracting and https://instagram.com/newlifecontracting (both login-walled this run; activity not observed). No owner personal accounts found.</t>
        </is>
      </c>
      <c r="AQ11" s="8" t="inlineStr">
        <is>
          <t>https://www.newlifecontracting.com</t>
        </is>
      </c>
      <c r="AR11" s="8" t="inlineStr">
        <is>
          <t>hello@newlifecontracting.com (mailto link + LocalBusiness JSON-LD on newlifecontracting.com; also on ThreeBestRated). MX record not verifiable this run (no dig/nslookup in sandbox).</t>
        </is>
      </c>
      <c r="AS11" s="8" t="inlineStr">
        <is>
          <t>1898 Livingston Ave, Saint Paul, MN 55118-3920 (site JSON-LD + BBB; Expertise.com shows 55108, which conflicts with the business's own site)</t>
        </is>
      </c>
      <c r="AT11" s="8" t="inlineStr">
        <is>
          <t>55118</t>
        </is>
      </c>
      <c r="AU11" s="8" t="inlineStr">
        <is>
          <t>Minnesota and Wisconsin; Sunfish Lake, South St Paul, Newport, Mendota, Ramsey County, MN 'and surrounding areas' (site footer)</t>
        </is>
      </c>
      <c r="AV11" s="8" t="inlineStr">
        <is>
          <t>Not found (Maps pin not retrievable this run; search budget exhausted)</t>
        </is>
      </c>
      <c r="AW11" s="8" t="inlineStr">
        <is>
          <t>4.8 per Expertise.com (third-party; not verified on Google this run)</t>
        </is>
      </c>
      <c r="AX11" s="8" t="inlineStr">
        <is>
          <t>103 Google reviews per Expertise.com (third-party, unverified on Google this run); BBB: 86 customer reviews, A+, 2 complaints in last 3 years; Facebook 5.0 (53) per Expertise.com; Checkbook: 2 ratings (one 'Not Recommended' Feb 2022, text gated)</t>
        </is>
      </c>
      <c r="AY11" s="8" t="inlineStr">
        <is>
          <t>1998 ('Year Established 1998' on /about; BBB founding date 1998-01-01; ThreeBestRated 'Since 1998'). MN Business Corporation file 11I-302, status Active (OpenCorporates mirror of MN SOS); annual-renewal lapses led to administrative dissolution + reinstatement in Feb 2021, Jan 2023 and Jan 2025 (reinstated 30 Jan 2025).</t>
        </is>
      </c>
      <c r="AZ11" s="8" t="inlineStr">
        <is>
          <t>CONFLICT: BBB lists 'Number of employees: 2'; Thumbtack self-reports '40 employees' (scout observation, Thumbtack returned no content this run). Treat as a small office with subcontracted/seasonal crews until verified.</t>
        </is>
      </c>
      <c r="BA11" s="8" t="inlineStr">
        <is>
          <t>1 (1898 Livingston Ave; site footer lists a single 'Visit Us' address; SOS head office matches)</t>
        </is>
      </c>
      <c r="BB11" s="8" t="inlineStr">
        <is>
          <t>Roof installation/replacement, roof repair, emergency roof repair and emergency tarping, storm damage/insurance claims, roof inspection and maintenance, asphalt shingle, metal, slate, flat/EPDM/TPO/PVC commercial roofing, siding (steel, cedar, Hardie, vinyl), windows, gutters, soffit/fascia, decks; financing via Enhancify; GAF Master Elite 3-Star President's Club</t>
        </is>
      </c>
      <c r="BC11" s="8" t="inlineStr">
        <is>
          <t>basic (SSL, © 2026, contact form, Hibu-supplied FAQPage + LocalBusiness JSON-LD, Enhancify financing, SMS marketing opt-in 'Text START'; no online booking, no chat/text-us for inquiries, no call tracking; robots.txt allows ai-input/ai-train)</t>
        </is>
      </c>
      <c r="BD11" s="8" t="inlineStr">
        <is>
          <t>agency_managed (Hibu platform: cdn.hibuwebsites.com assets, Hibu cookie/notice policy links, Hibu video splash, monthly Hibu-style SEO blog posts May–Sept 2026; gtag/GTM and Meta pixel in page source)</t>
        </is>
      </c>
      <c r="BE11" s="8" t="inlineStr">
        <is>
          <t>established (since 1998; 100+ reviews across platforms; single location; no hiring or expansion signal found; incumbent agency content still running)</t>
        </is>
      </c>
      <c r="BF11" s="8" t="inlineStr">
        <is>
          <t>unknown (Google review replies, Yelp and BBB review text were not retrievable this run)</t>
        </is>
      </c>
      <c r="BG11" s="8" t="inlineStr">
        <is>
          <t>Gap. Site advertises 'Emergency Roof Repair', 'Emergency Tarping Available', 'same-day services' and a FAQ on responding to 'urgent roofing issues or storm damage', while posted hours are Mon–Fri 8:00 am–5:00 pm, Sat–Sun Closed (site + JSON-LD). No mention anywhere public of 24/7 answering, an answering service, or an AI receptionist; the estimate form only promises 'We will get back to you as soon as possible.' Who answers after 5 pm is unknown (not test-called).</t>
        </is>
      </c>
      <c r="BH11" s="8" t="inlineStr">
        <is>
          <t>None. Page source scanned for calendly/acuity/housecallpro/servicetitan/jobber/square: none present. Only a 'Request Estimate' form (Hibu) and 'Give Us a Call' CTA.</t>
        </is>
      </c>
      <c r="BI11" s="8" t="inlineStr">
        <is>
          <t>No chat widget (no podium/birdeye/tidio/intercom/tawk in source). An SMS link 'Text START to begin receiving offers by text... Msgs may be autodialed' (sms:?&amp;body=START) is a marketing opt-in, not a two-way inquiry channel.</t>
        </is>
      </c>
      <c r="BJ11" s="8" t="inlineStr">
        <is>
          <t>Hibu (website platform + content + SMS offers), Google tag/GTM (gtag), Meta pixel (connect.facebook.net), Enhancify (consumer financing), GAF Master Elite program, BBB accreditation. Not found: CallRail/CTM, ServiceTitan, Jobber, Housecall Pro, AccuLynx, Podium, Birdeye, any AI receptionist vendor. Site contains an unfilled '{{placeholder_retargeting_pixel}}'.</t>
        </is>
      </c>
      <c r="BK11" s="8" t="inlineStr">
        <is>
          <t>Not checked: Meta Ad Library and Google Ads Transparency Center returned 403/empty and the search budget was exhausted, so Google Ads/LSA SERP checks could not be run. Observed only: Meta pixel + gtag installed on the site (page source).</t>
        </is>
      </c>
      <c r="BL11" s="8" t="inlineStr">
        <is>
          <t>not checked (Perplexity returned 403; search budget exhausted; no AI platform could be queried). Note for the audit: the site already carries Hibu-generated FAQPage and LocalBusiness JSON-LD, so lead with the 'Named in X of Y' count, not a 'you have no schema' line.</t>
        </is>
      </c>
      <c r="BM11" s="8" t="inlineStr">
        <is>
          <t>PASS. Chain/franchise: no (single location, independent MN corporation, family-owned). Website: live (HTTP 200, own domain). Live US business: MN SOS status Active (reinstated 30 Jan 2025), blog activity Sept 2026, BBB accredited. Inbound channel: phone + estimate form. Competitor/non-buyer: no. Already automated on both fronts: no AI receptionist or GEO vendor credited. Suppression/seen lists: no match on name or domain (grep 'new life', 'newlifecontracting', 'virkus', both phone numbers). Not run: GHL ghl-contacts.js dedupe.</t>
        </is>
      </c>
      <c r="BN11" s="8" t="inlineStr">
        <is>
          <t>D1 Decision-maker: 8/20 — full name + role cited from two sources (BBB 'Steve Virkus, President'; MN SOS registered agent 'Steven Lee Virkus' via OpenCorporates; Expertise.com founder line) but only a generic hello@ mailbox, no owner email/LinkedIn/direct line -&gt; call-first / DEMO PATH. | D2 Phone gap: 15/15 — phone-first ('Give Us a Call' header CTA, number in hero/footer/JSON-LD) AND quoted gap: hours 'Mon - Fri 8:00 am - 5:00 pm, Sat - Sun Closed' while site advertises 'Emergency Tarping Available' and 'same-day services'; roofing is on the inherently-urgent list; no 24/7/answering-service mention anywhere. | D3 Lead-response leak: 5/15 — exactly 1 signal type: booking/contact friction (no scheduler, no inquiry chat/text, form says only 'as soon as possible'; verified in page source). Logged nulls: Google review text, Yelp (403), Indeed (403), BBB complaint/review text (not rendered), Facebook (login wall). | D4 AI search gap: 0/10 — NO EVIDENCE: no AI platform could be checked (Perplexity 403, search budget exhausted); site has FAQPage + LocalBusiness JSON-LD. | D5 ICP fit: 15/15 — independent, 1 location, named owner, 'family-owned and locally operated'; core niche; proxies: since 1998 (site/BBB), 100+ reviews (103 Google per Expertise.com; 86 BBB), roofing ticket $8-15k + Enhancify financing, MN+WI multi-city service area, GAF Master Elite. Headcount CONFLICT (BBB 2 vs Thumbtack 40) noted. | D6 Buying signals: 7/15 — only group (d): Hibu bundled agency + gtag + Meta pixel in source; no dated trigger; Google Ads/LSA/Meta Ad Library could not be checked (log: Ads Transparency empty, Ad Library 403, search unavailable). | D7 Attitude/stack: 6/10 — positives: modern SSL site © 2026; adopts financing + SMS opt-in; negative: dead/placeholder content and a coupon link to (888) 555-1212; Hibu is a bundled vertical agency incumbent (note 'GEO wedge + after-hours voice coexist'). | TOTAL 56 = QUALIFIED, TRUSTED (6 of 7 dimensions carry evidence; D1 positive; D2 direct hours string; D5 evidenced). Caveat: GHL 'E4L Services' dedupe via ghl-contacts.js was not run in this job; suppression.csv and seen.csv show no match.</t>
        </is>
      </c>
      <c r="BO11" s="8" t="inlineStr">
        <is>
          <t>https://www.newlifecontracting.com/, https://www.newlifecontracting.com/contact, https://www.newlifecontracting.com/about, https://www.bbb.org/us/mn/saint-paul/profile/general-contractor/new-life-contracting-inc-0704-57000232, https://opencorporates.com/companies/us_mn/82e3e872-bad4-e011-a886-001ec94ffe7f, https://www.expertise.com/home-improvement/roofing/minnesota/saint-paul, https://threebestrated.com/roofing-contractors-in-st-paul-mn, https://www.newlifecontracting.com/reviews, https://www.newlifecontracting.com/blog, https://www.newlifecontracting.com/condensation, https://www.checkbook.org/mn/st-paul/siding-installers/new-life-contracting/4752e, https://www.newlifecontracting.com/robots.txt, https://opencorporates.com/companies?q=New+Life+Contracting&amp;jurisdiction_code=us_mn</t>
        </is>
      </c>
      <c r="BP11" s="8" t="inlineStr">
        <is>
          <t>Medium</t>
        </is>
      </c>
      <c r="BQ11" s="8" t="inlineStr">
        <is>
          <t>Title detail: President (BBB 'Business Management: Steve Virkus, President'); registered agent 'Steven Lee Virkus' on the MN SOS record (via OpenCorporates); Expertise.com: 'founded in 1998 by Steven Virkus'. Name CONFIRMED (government record + BBB).. 1) Route: call-first / DEMO PATH (D1 = 8). Name is CONFIRMED (BBB + MN SOS registered agent) but the only email is hello@ — fine for the demo-number follow-up, not for a personal cold email. 2) Hibu is the incumbent (site, content, SMS offers): position E4L as the after-hours voice layer + GEO, not a site replacement. 3) Headcount conflict: BBB says 2 employees, Thumbtack says 40 (not verified this run); scout also cited 520 MN permits on PermitMint (403 this run). If 40 is real, they are above the sweet spot but still single-location and owner-run. 4) Blocked this run: Google review text, Yelp, Indeed, Meta Ad Library, Ads Transparency, Facebook/Instagram, Wayback, all AI platforms, WebSearch (budget exhausted). D4 is 0 NO EVIDENCE: run the GEO spot-check before any 'Named in X of Y' claim; the site already has FAQ/LocalBusiness schema. 5) The linkedin.com/company/new-life-contracting-inc page is a Denver company — ignore. 6) GHL ghl-contacts.js dedupe was not run here; suppression.csv/seen.csv are clean. 7) MN SOS shows admin-dissolution/reinstatement in 2021, 2023 and 2025 (currently Active): a sign of thin admin bandwidth, never to be mentioned. 8) Minnesota has no mini-TCPA registration concern for a manual B2B dial, but keep it a live human call to the business line only.</t>
        </is>
      </c>
      <c r="BR11" s="10" t="inlineStr"/>
      <c r="BS11" s="10" t="inlineStr"/>
      <c r="BT11" s="10" t="inlineStr"/>
    </row>
    <row r="12" ht="120" customHeight="1">
      <c r="A12" s="8" t="inlineStr">
        <is>
          <t>20261013-11</t>
        </is>
      </c>
      <c r="B12" s="8" t="inlineStr">
        <is>
          <t>2026-10-13</t>
        </is>
      </c>
      <c r="C12" s="8" t="n">
        <v>2</v>
      </c>
      <c r="D12" s="10" t="inlineStr"/>
      <c r="E12" s="10" t="inlineStr">
        <is>
          <t>New</t>
        </is>
      </c>
      <c r="F12" s="8" t="n">
        <v>56</v>
      </c>
      <c r="G12" s="8">
        <f>IF(F12="","",IF(F12&gt;=80,"A — send today",IF(F12&gt;=60,"B — worth a touch",IF(F12&gt;=40,"C — hold","D — reject"))))</f>
        <v/>
      </c>
      <c r="H12" s="8" t="inlineStr">
        <is>
          <t>Air-Pro Mechanical, LLC</t>
        </is>
      </c>
      <c r="I12" s="8" t="inlineStr">
        <is>
          <t>Walt</t>
        </is>
      </c>
      <c r="J12" s="8" t="inlineStr">
        <is>
          <t>Edelin</t>
        </is>
      </c>
      <c r="K12" s="8" t="inlineStr">
        <is>
          <t>Owner</t>
        </is>
      </c>
      <c r="L12" s="8" t="inlineStr">
        <is>
          <t>Not found</t>
        </is>
      </c>
      <c r="M12" s="8" t="inlineStr">
        <is>
          <t>Generic (info@/office@)</t>
        </is>
      </c>
      <c r="N12" s="8" t="inlineStr">
        <is>
          <t>Not found</t>
        </is>
      </c>
      <c r="O12" s="8" t="inlineStr">
        <is>
          <t>Not found</t>
        </is>
      </c>
      <c r="P12" s="8" t="inlineStr">
        <is>
          <t>+1 804-355-7767 (main; site header tel: link + BBB + GBP via directory). Fax +1 804-355-1007.</t>
        </is>
      </c>
      <c r="Q12" s="8" t="inlineStr">
        <is>
          <t>HVAC (residential + commercial heating &amp; cooling; Carrier Factory Authorized Dealer)</t>
        </is>
      </c>
      <c r="R12" s="8" t="inlineStr">
        <is>
          <t>core</t>
        </is>
      </c>
      <c r="S12" s="8" t="inlineStr">
        <is>
          <t>Richmond</t>
        </is>
      </c>
      <c r="T12" s="8" t="inlineStr">
        <is>
          <t>VA</t>
        </is>
      </c>
      <c r="U12" s="8" t="inlineStr">
        <is>
          <t>Richmond's first no-heat calls of the season land in October–November and this shop is actively trying to add five techs, so every after-hours ring that hits a busy line is a Carrier install or Service Agreement renewal handed to the next dealer; they already pay CallRail to count those calls, which makes the missed-call math easy to show (seasonal timing is a vertical-calendar inference, not a dated business event).</t>
        </is>
      </c>
      <c r="V12" s="8" t="inlineStr">
        <is>
          <t>Family-Legacy Pride Brand (primary; medium confidence) with Growth-Minded Operator secondary</t>
        </is>
      </c>
      <c r="W12" s="8" t="inlineStr">
        <is>
          <t>Voice AI live demo line built from airprova.com (after-hours/overflow receptionist that answers the "night or day" promise and books the service call), paired with missed-call text-back; GEO audit only after the spot-check is actually run.</t>
        </is>
      </c>
      <c r="X12" s="8" t="inlineStr">
        <is>
          <t>Recover</t>
        </is>
      </c>
      <c r="Y12" s="8" t="inlineStr">
        <is>
          <t>Who picks up for AirPro at 2am?</t>
        </is>
      </c>
      <c r="Z12" s="8" t="inlineStr">
        <is>
          <t>Your site tells Richmond to "call us any time, night or day, Sundays and holidays," the office closes at 4:30, and you're hiring five techs to keep up — so I'm curious who actually answers when the crew is out.</t>
        </is>
      </c>
      <c r="AA12" s="8" t="inlineStr">
        <is>
          <t>Missed-call / after-hours coverage, not "AI": a 40-plus-year Carrier dealer that already pays CallRail to measure calls, promises true 24/7, runs a 7:30–4:30 office, and has the owner on service jobs. Offer the demo line trained on their own site so Walt can hear his own business answered before paying anything; position it as overflow and after-hours only, never as replacing Lisa or the office. Secondary: Service Agreement renewals and tune-up reminders as recurring revenue the system can protect.</t>
        </is>
      </c>
      <c r="AB12" s="8" t="inlineStr">
        <is>
          <t>"We're on-call around the clock already — the techs/answering line handle nights." Response: ask what happens to the second and third call during a no-heat week and to the office line between 4:30 and 7:30; the demo doesn't touch their on-call rotation, it only catches what rings out. Also expect "we don't price over the phone" — the agent qualifies and books, it never quotes.</t>
        </is>
      </c>
      <c r="AC12" s="8" t="inlineStr">
        <is>
          <t>"Hi, is this Walt? Walt, it's Sam with Eat 4 Life Marketing — this is a cold call, so feel free to hang up on me. I was on the AirPro site: it says 'call us any time, night or day,' and I saw you're hiring five techs. Quick one — when the office closes at 4:30 and the crew's on jobs, who's picking up: you, voicemail, or an on-call line? We build a receptionist trained on your own website that answers every one of those calls and books the service visit, and you can dial the demo before you pay a dollar. Can I take 20 seconds to tell you how it works, or is this a bad time?"</t>
        </is>
      </c>
      <c r="AD12" s="8" t="inlineStr">
        <is>
          <t>Tue–Thu 7:30–8:15 AM ET, right when the office opens and before trucks dispatch; a customer review on the company's site says "I dealt with the owner Walt Edelin" on a service job, so Walt is in the field later in the day. Fallback: 3:45–4:30 PM ET before the 4:30 close. Never after 4:30 PM ET (goes to the on-call line, not the office).</t>
        </is>
      </c>
      <c r="AE12" s="8" t="inlineStr">
        <is>
          <t>Office: "Monday through Friday: 7:30 am to 4:30 pm" + "On-Call around the clock, 7 days per week" (https://airprova.com/contact-us/). GBP (via serviceagent.ai directory): "Open 24 hours" every day. Site: "True 24/7 Emergency Service. You can call us any time, night or day, Sundays and holidays."</t>
        </is>
      </c>
      <c r="AF12" s="8" t="inlineStr">
        <is>
          <t>America/New_York (Eastern)</t>
        </is>
      </c>
      <c r="AG12" s="8" t="inlineStr">
        <is>
          <t>Main line +1 804-355-7767 is a CallRail-swapped number landing at the office, staffed Mon–Fri 7:30–4:30 ET. The site's FAQ says calls go to "skilled customer support technicians," and a customer review names "Walt, Lisa, Brian" as the team — Lisa's role is not published, so do not call her the office manager; ask "is Walt in, or is this Lisa?" to sound familiar without guessing. Owner Walt Edelin is personally on service calls (review on airprova.com), so morning before dispatch is the window. No owner cell or direct line published. After 4:30 PM the line goes to an unpublished on-call arrangement — do not test-call after hours without Chosen's authorization. Email fallback: info@airprova.com with "Attn: Walt Edelin" in the subject.</t>
        </is>
      </c>
      <c r="AH12" s="8" t="inlineStr">
        <is>
          <t>Neutral phone-process observation (no dated win found in 90 days): the site promises "True 24/7 — call us any time, night or day, Sundays and holidays" while the office is 7:30–4:30 and the owner is personally on service calls; plus five open technician roles on a "growing family business" careers page. URL: https://airprova.com/ and https://airprova.com/about-airpro-mechanical/airpro-mechanical-employment/</t>
        </is>
      </c>
      <c r="AI12" s="8" t="inlineStr">
        <is>
          <t>(1) Coverage-claim gap: "True 24/7 Emergency Service. You can call us any time, night or day, Sundays and holidays" and "No time is unreasonable for service or repair" (https://airprova.com/) vs "Monday through Friday: 7:30 am to 4:30 pm ... On-Call around the clock" (https://airprova.com/contact-us/) with no published answering mechanism. (2) Capacity pressure: five open roles — Installation Mechanic, Installation Apprentice, Service Technician, Maintenance Technician, Courier — on a "growing family business" (https://airprova.com/about-airpro-mechanical/airpro-mechanical-employment/). (3) Booking friction: form-only, "we will get in touch with you shortly", no scheduler, no working text, no chat. (4) Owner is on jobs: "I dealt with the owner Walt Edelin" (review on airprova.com). (5) FAQ: "Many times we receive calls to give an estimate for system replacements over the phone" = phone is the sales channel. Counter-signal, recorded honestly: republished reviews praise responsiveness ("quick to respond the same day", "Most service calls are responded to the same day"); no reachability complaint found (but Google/Yelp review text was not accessible).</t>
        </is>
      </c>
      <c r="AJ12" s="8" t="inlineStr">
        <is>
          <t>No dated trigger within 60 days found. Hiring page lists 5 roles but its sitemap lastmod is 2023-12-01 (undated postings; treat as standing/past signal, not fresh). Homepage and contact pages edited 2025-09-17 per sitemap (content edit, not a redesign). Seasonal: mid-October heating-season onset in Richmond (vertical calendar inference only; boiler-repair page updated 2024-12-09 shows they market heating). Null log: Google News/press, Patch, SOS officer changes, Meta Ad Library, Indeed/ZipRecruiter dates not checkable this run.</t>
        </is>
      </c>
      <c r="AK12" s="8" t="inlineStr">
        <is>
          <t>Family-Legacy: (1) "apply to join our growing family business!" + "honest, reliable service ... since 1982" (https://airprova.com/about-airpro-mechanical/airpro-mechanical-employment/); (2) "since 1978" / "more than 40 years", BBB accredited since 2008, A+ (https://airprova.com/about-airpro-mechanical/, BBB); (3) customers name the owner warmly and cite long relationships: "Thank you Walt and team", "worked for me for 15 years" (https://airprova.com/about-airpro-mechanical/review-airpro-mechanical/). Growth-Minded: five open production roles; CallRail call tracking in page source (cdn.callrail.com/companies/420247767/.../swap.js); Wells Fargo consumer financing page. Contradiction: no family story, no named family members, no owner-voiced social visible, so not high confidence. Owner-operator is on jobs ("I dealt with the owner Walt Edelin") but no reachability complaints found, so Overwhelmed type is not supported.</t>
        </is>
      </c>
      <c r="AL12" s="8" t="inlineStr">
        <is>
          <t>Not found beyond: owner of a 40-plus-year Carrier Factory Authorized Dealer that is BBB accredited since 2008 and lists NATE/RSES/EPA/NCI certified technicians, ACCA membership, Columbia Gas of Virginia participating contractor, and an Angie's List Super Service Award (https://airprova.com/about-airpro-mechanical/certifications-airpro-mechanical/). No interviews, podcasts, or bio pages found.</t>
        </is>
      </c>
      <c r="AM12" s="8" t="inlineStr">
        <is>
          <t>OBSERVED from customers, not the owner's own words: "Walt, Lisa, Brian and everyone else on the AirPro team is absolutely top notch! A pleasure to work with. Honest and ethical." (Calvin D.); "Thank you Walt and team for restoring my faith in HVAC companies." (Holly C.); "First class company worked for me for 15 years" (Richard K.). Site voice: professional, service-promise heavy ("we'll never leave you out in the cold", "No time is unreasonable for service or repair"), FAQ explains "Why don't we price systems over the phone?" = values accuracy over quick quotes. Tone label: professional / reputation-proud. No review replies visible to read.</t>
        </is>
      </c>
      <c r="AN12" s="8" t="inlineStr">
        <is>
          <t>Owner-operator</t>
        </is>
      </c>
      <c r="AO12" s="8" t="inlineStr">
        <is>
          <t>Not found (site footer has a LinkedIn icon with no profile URL in source; company page URL guess returned 404; LinkedIn X-ray not possible this run, search budget exhausted)</t>
        </is>
      </c>
      <c r="AP12" s="8" t="inlineStr">
        <is>
          <t>Company Facebook: https://www.facebook.com/Air-Pro-Mechanical-LLC-112052998164216 (login wall; activity not observable). No Instagram/TikTok/YouTube channel links in site source. Owner personal socials: Not found.</t>
        </is>
      </c>
      <c r="AQ12" s="8" t="inlineStr">
        <is>
          <t>https://airprova.com</t>
        </is>
      </c>
      <c r="AR12" s="8" t="inlineStr">
        <is>
          <t>info@airprova.com (CONFIRMED on https://airprova.com/contact-us/ and /contact-airpro-mechanical/; also the employment-application mailbox). MX lookup not run (dig/host unavailable in sandbox).</t>
        </is>
      </c>
      <c r="AS12" s="8" t="inlineStr">
        <is>
          <t>2016 N. Hamilton Street, Richmond, VA 23230 (site contact page; matches BBB and OpenCorporates registered address)</t>
        </is>
      </c>
      <c r="AT12" s="8" t="inlineStr">
        <is>
          <t>23230</t>
        </is>
      </c>
      <c r="AU12" s="8" t="inlineStr">
        <is>
          <t>Richmond, Amelia, Chesterfield, Goochland, Hanover, Henrico, New Kent, Powhatan + "More Areas" page; "throughout Central Virginia" (https://airprova.com/contact-airpro-mechanical/airpro-mechanical-service-areas/)</t>
        </is>
      </c>
      <c r="AV12" s="8" t="inlineStr">
        <is>
          <t>Not found as a maps.google.com link; the site's own "Write Review" button targets this GBP review panel: https://www.google.com/search?q=Air-Pro+Mechanical+Virginia#lrd=0x89b1141cbca8943b:0x8bc3e38c51a403a2,1,,,</t>
        </is>
      </c>
      <c r="AW12" s="8" t="inlineStr">
        <is>
          <t>4.9 (serviceagent.ai directory pull of Google; GBP not directly accessible this run)</t>
        </is>
      </c>
      <c r="AX12" s="8" t="inlineStr">
        <is>
          <t>135 Google (per serviceagent.ai, "Not yet verified by business"); 21 five-star reviews republished on airprova.com; 3 BBB reviews; 0 BBB complaints in 3 yrs</t>
        </is>
      </c>
      <c r="AY12" s="8" t="inlineStr">
        <is>
          <t>CONFLICT: "since 1978" (About page) vs "since 1982" (Employment pages) vs "more than 40 years" (home) vs BBB founding 2005-01-01 / accredited 9/1/2008 vs certifications page "BBB accreditation began 2006". OpenCorporates shows a 2011 trading name "CENTRAL ENVIRONMENTAL SYSTEMS (RICHMOND CI)". Hypothesis: sole prop/earlier entity -&gt; LLC ~2005. Use "40-plus years" in outreach, never a specific year.</t>
        </is>
      </c>
      <c r="AZ12" s="8" t="inlineStr">
        <is>
          <t>Not found as a number. Named on public pages: Walt (owner), Lisa, Brian, Nick (technician) via customer reviews on airprova.com; site says "On average, our technicians have over 15 years of experience"; hiring 5 roles. BBB/LinkedIn/Indeed headcount not accessible this run.</t>
        </is>
      </c>
      <c r="BA12" s="8" t="inlineStr">
        <is>
          <t>1 (single Richmond address on site, BBB, OpenCorporates; no locations/franchise page in sitemap)</t>
        </is>
      </c>
      <c r="BB12" s="8" t="inlineStr">
        <is>
          <t>AC &amp; furnace install/repair, heat pumps, ductless/mini-split, boiler repair, duct zoning, IAQ, electrical work, plumbing page, commercial HVAC, residential maintenance "Service Agreement" (full labor + preventive maintenance contract), rebates, Wells Fargo Home Projects financing, referral reward program; brands: Carrier (factory authorized), Rheem, Daikin, Trane, Goodman, Mitsubishi, Gree, American Standard, Lennox, Ruud, A.O. Smith, iWave</t>
        </is>
      </c>
      <c r="BC12" s="8" t="inlineStr">
        <is>
          <t>basic (SSL, WordPress/Elementor, contact forms, customer "Welcome Back / Register" login page of unknown vendor, CallRail; no booking widget, no chat, no sms: link despite a "TEXT MESSAGE" button label, no JSON-LD schema)</t>
        </is>
      </c>
      <c r="BD12" s="8" t="inlineStr">
        <is>
          <t>agency_managed (light): small-agency site credit "Website Design by Tactics Branding", CallRail dynamic number swap, Wells Fargo financing page, sitemap shows bulk page refresh 2023-12-01 and home/contact edits 2025-09-17; copyright still 2022</t>
        </is>
      </c>
      <c r="BE12" s="8" t="inlineStr">
        <is>
          <t>established (40-plus years, 135 Google reviews, single location) with scaling pressure signal: 5 open production roles, no office roles</t>
        </is>
      </c>
      <c r="BF12" s="8" t="inlineStr">
        <is>
          <t>unknown (Google review replies not accessible this run; Yelp 403; BBB shows 3 reviews, 0 complaints, no response text visible)</t>
        </is>
      </c>
      <c r="BG12" s="8" t="inlineStr">
        <is>
          <t>Site claims "True 24/7 ... call us any time, night or day" and "On-Call around the clock, 7 days per week" against office hours Mon–Fri 7:30–4:30. Who answers after 4:30 is not published: no answering-service, call-center, or AI-receptionist vendor appears in page source or on any page. GBP (via directory) lists Open 24 hours. Claim vs. staffed coverage = the demo question.</t>
        </is>
      </c>
      <c r="BH12" s="8" t="inlineStr">
        <is>
          <t>No. "APPOINTMENT" / "Request an Appointment" is a web form (asks "Is this an emergency?" Yes/No) with the promise "we will get in touch with you shortly" and no time frame. No scheduling vendor script in source.</t>
        </is>
      </c>
      <c r="BI12" s="8" t="inlineStr">
        <is>
          <t>No chat widget. Homepage shows a "TEXT MESSAGE" button but no sms: href exists in the page source (only tel:8043557767), so texting is a label, not a working channel.</t>
        </is>
      </c>
      <c r="BJ12" s="8" t="inlineStr">
        <is>
          <t>CallRail (cdn.callrail.com/companies/420247767/wp-0-5-3/swap.js), WordPress 7.1.3 + Elementor 4.3.2 + Phlox theme, Optimole image CDN, Tactics Branding (web design), Wells Fargo Home Projects (financing). Not found: ServiceTitan, Housecall Pro, Jobber, Podium, Birdeye, NiceJob, Tidio, Intercom, Calendly, GTM/gtag, fbq, Hotjar, LeadConnector/GHL, HubSpot, Scorpion/Hibu/Thryv/RYNO, any AI-receptionist or answering-service script.</t>
        </is>
      </c>
      <c r="BK12" s="8" t="inlineStr">
        <is>
          <t>Unknown. Google Ads Transparency Center page rendered no advertiser for airprova.com but was truncated (inconclusive); Meta Ad Library returned 403; Google LSA unit not checkable this run. Spend evidence that IS confirmed: CallRail call tracking (they pay to measure calls).</t>
        </is>
      </c>
      <c r="BL12" s="8" t="inlineStr">
        <is>
          <t>not checked (Perplexity returned 403; ChatGPT/Gemini not reachable without a browser; web-search budget for this turn was exhausted before the money-question checks). Site has an FAQ page (https://airprova.com/questions-about-airpro-mechanical/) but zero application/ld+json schema. Run the GEO spot-check before any audit line is sent.</t>
        </is>
      </c>
      <c r="BM12" s="8" t="inlineStr">
        <is>
          <t>PASS — independent single-location VA LLC (Active, S1457045, no parent/franchise language); live own-domain WordPress site; US address with inbound phone + forms; HVAC core niche; no AI receptionist or answering-service vendor in page source; not in suppression.csv or seen.csv (airprova.com absent; the three "Air Pro" suppression rows are different domains in GA, HI, NY); no no-solicitation notice found. OPEN ITEM: GHL "E4L Services" dedupe by domain/phone/name+city not run (no GHL access this session).</t>
        </is>
      </c>
      <c r="BN12" s="8" t="inlineStr">
        <is>
          <t>D1 Decision-maker: 8/20 — full name + role cited from BBB principal ("Mr. Walt John Edelin, Owner") and corroborated on the company's own review page ("I dealt with the owner Walt Edelin"); only contact is generic info@airprova.com (contact page); no owner email, direct line, or LinkedIn found -&gt; call-first route. | D2 Phone/after-hours gap: 15/15 — phone-first (tel: link in header, CALL NOW CTA, CallRail swap), HVAC inherently urgent, site claims "True 24/7 ... call us any time, night or day" while office hours are "Monday through Friday: 7:30 am to 4:30 pm" and no answering service/AI vendor appears anywhere in source (gap proofs a + c). | D3 Lead-response leak: 5/15 — exactly 1 signal type: booking/contact friction (form-only, "we will get in touch with you shortly", no scheduler/chat/sms script in source). Job posts are production roles, not front-office, so type 2 does not count; no reachability complaints found and republished reviews praise same-day response; reply rate/Yelp/GBP messaging not observable (logged null: Google reviews, Yelp 403, BBB 0 complaints). | D4 AI search visibility: 0/10 NO EVIDENCE — no AI platform could be checked this run (Perplexity 403, search budget exhausted); noted for re-run: zero JSON-LD on site, FAQ page exists. | D5 ICP fit/ability to pay: 15/15 — independent VA LLC (Active, OpenCorporates S1457045), 1 location, named owner; HVAC core niche; proxies: 40-plus years + BBB accredited 2008, 135 Google reviews, 4 named staff (Walt, Lisa, Brian, Nick), HVAC install ticket $6-12k + Wells Fargo financing, 8-jurisdiction service area + 24/7 claim. | D6 Buying signals: 7/15 — spend group (d) only: CallRail call tracking confirmed in source; no dated trigger within 180 days (hiring page lastmod 2023-12-01); Google Ads/LSA/Meta unverifiable this run (logged). | D7 Attitude/stack: 6/10 — positives: consumer financing, growth posture (5 roles, "growing family business"); negative: footer copyright 2022 (4 yrs stale); review-reply and social behavior unobservable; incumbent stack is a one-shop web designer + CallRail, no bundled vertical agency, no conflict. TOTAL 56 -&gt; QUALIFIED band. Trust: 6 of 7 dimensions carry evidence (D4 NO EVIDENCE), D1 positive, D2 direct (quoted hours), D5 cited; GHL E4L Services dedupe NOT performed in this run (no GHL access) — Rozel to confirm before load.</t>
        </is>
      </c>
      <c r="BO12" s="8" t="inlineStr">
        <is>
          <t>https://airprova.com/contact-us/, https://airprova.com/, https://www.bbb.org/us/va/richmond/profile/heating-and-air-conditioning/air-pro-mechanical-llc-0603-63392075, https://airprova.com/about-airpro-mechanical/review-airpro-mechanical/, https://airprova.com/about-airpro-mechanical/airpro-mechanical-employment/, https://airprova.com/about-airpro-mechanical/, https://airprova.com/contact-airpro-mechanical/, https://opencorporates.com/companies/us_va/S1457045, https://serviceagent.ai/directory/virginia/richmond/hvac/air-pro-mechanical-llc/, https://airprova.com/about-airpro-mechanical/certifications-airpro-mechanical/, https://airprova.com/questions-about-airpro-mechanical/, https://airprova.com/rebate-incentives-airpro-mechanical/financing-airpro-mechanical/, https://airprova.com/wp-sitemap-posts-page-1.xml, https://airprova.com/contact-airpro-mechanical/airpro-mechanical-service-areas/, https://airprova.com/products/, https://www.facebook.com/Air-Pro-Mechanical-LLC-112052998164216</t>
        </is>
      </c>
      <c r="BP12" s="8" t="inlineStr">
        <is>
          <t>Medium</t>
        </is>
      </c>
      <c r="BQ12" s="8" t="inlineStr">
        <is>
          <t>Title detail: Owner (BBB Business Management: "Mr. Walt John Edelin, Owner"; customer review on airprova.com: "I dealt with the owner Walt Edelin"). Legal entity note: site also uses "AirPro Mechanical". 1) Route call-first to Walt (D1 = 8, generic mailbox only); send Sebastian's email to info@airprova.com "Attn: Walt Edelin" only after Sam's first dial. 2) Do NOT cite a founding year — site says 1978 and 1982, BBB says 2005; say "40-plus years as a Carrier dealer." 3) D4 is unscored: Perplexity/ChatGPT/Gemini could not be opened and the search budget ran out; run the HVAC money questions for Richmond before using any "Named in X of Y" line. 4) Google review text, owner reply rate, Yelp, Indeed, LinkedIn, Facebook posts, Meta Ad Library were all blocked (403/login) this run, so attitude is medium-confidence and D3 may rise if GBP reviews show reachability complaints — worth a 2-minute GBP look before the call. 5) Positive proof points to mirror: A+ BBB since 2008, 0 complaints, NATE/RSES/NCI certified techs, Angie's List Super Service Award, "Honest and ethical" review language — this owner cares about reputation, so frame the demo as protecting the name after hours, never as replacing staff. 6) Their FAQ says they refuse to price over the phone; make sure the demo agent qualifies and books without quoting. 7) GHL dedupe still owed before load.</t>
        </is>
      </c>
      <c r="BR12" s="10" t="inlineStr"/>
      <c r="BS12" s="10" t="inlineStr"/>
      <c r="BT12" s="10" t="inlineStr"/>
    </row>
    <row r="13" ht="120" customHeight="1">
      <c r="A13" s="8" t="inlineStr">
        <is>
          <t>20261013-12</t>
        </is>
      </c>
      <c r="B13" s="8" t="inlineStr">
        <is>
          <t>2026-10-13</t>
        </is>
      </c>
      <c r="C13" s="8" t="n">
        <v>2</v>
      </c>
      <c r="D13" s="10" t="inlineStr"/>
      <c r="E13" s="10" t="inlineStr">
        <is>
          <t>New</t>
        </is>
      </c>
      <c r="F13" s="8" t="n">
        <v>56</v>
      </c>
      <c r="G13" s="8">
        <f>IF(F13="","",IF(F13&gt;=80,"A — send today",IF(F13&gt;=60,"B — worth a touch",IF(F13&gt;=40,"C — hold","D — reject"))))</f>
        <v/>
      </c>
      <c r="H13" s="8" t="inlineStr">
        <is>
          <t>Affordable Professional Plumbing, LLC</t>
        </is>
      </c>
      <c r="I13" s="8" t="inlineStr">
        <is>
          <t>John</t>
        </is>
      </c>
      <c r="J13" s="8" t="inlineStr">
        <is>
          <t>Pardo</t>
        </is>
      </c>
      <c r="K13" s="8" t="inlineStr">
        <is>
          <t>Owner</t>
        </is>
      </c>
      <c r="L13" s="8" t="inlineStr">
        <is>
          <t>Not found (no owner-named address published anywhere; business inbox is affordableplumber72@gmail.com, which in a 2-4 person "father son shop" is very likely read by John himself, but that is an inference, not a sourced fact)</t>
        </is>
      </c>
      <c r="M13" s="8" t="inlineStr">
        <is>
          <t>Generic (info@/office@)</t>
        </is>
      </c>
      <c r="N13" s="8" t="inlineStr">
        <is>
          <t>Confirmed</t>
        </is>
      </c>
      <c r="O13" s="8" t="inlineStr">
        <is>
          <t>Not found. Main line (614) 802-9000 is the only number anywhere; Nextdoor neighbors list it as "John (614) 802-9000" and the page summary says he is "answering calls even on Sundays", so the main line likely reaches the owner. Do not treat as a cell; no line-type lookup run.</t>
        </is>
      </c>
      <c r="P13" s="8" t="inlineStr">
        <is>
          <t>+1 614-802-9000</t>
        </is>
      </c>
      <c r="Q13" s="8" t="inlineStr">
        <is>
          <t>Plumbing (residential service: repairs, water heater install/replacement, valves, drains; some commercial)</t>
        </is>
      </c>
      <c r="R13" s="8" t="inlineStr">
        <is>
          <t>core</t>
        </is>
      </c>
      <c r="S13" s="8" t="inlineStr">
        <is>
          <t>Hilliard</t>
        </is>
      </c>
      <c r="T13" s="8" t="inlineStr">
        <is>
          <t>OH</t>
        </is>
      </c>
      <c r="U13" s="8" t="inlineStr">
        <is>
          <t>In the last year the business invested in reputation and paid traffic - BBB accreditation (2025-11-24), the homepage retitled to "24/7" (modified 2025-12-08), and two Google Ads conversion tags on a site whose only conversion path is one phone line answered by the owner - while the published hours are still Mon-Fri 8-5, closed weekends. Central Ohio is heading into water-heater and frozen-pipe season (seasonal inference from the vertical calendar, not business-specific), when after-hours calls are exactly the ones that go to whoever picks up.</t>
        </is>
      </c>
      <c r="V13" s="8" t="inlineStr">
        <is>
          <t>Family-Legacy Pride Brand (primary, medium confidence); secondary: Overwhelmed Owner-Operator (phone-dependent single operator, but no reachability complaints found)</t>
        </is>
      </c>
      <c r="W13" s="8" t="inlineStr">
        <is>
          <t>Voice AI live demo built from affordableprofessionalplumbing.com, emergency/after-hours angle (the weekend and on-the-job calls), paired with missed-call text-back. Go-live framed as one conditional call-forwarding rule on (614) 802-9000 for missed/busy calls only - John keeps answering everything he can. Fallback if budget is the objection: à la carte solo voice agent (no price in copy). Run the free GEO audit as the second ask (D4 not yet checked; no LocalBusiness/FAQ schema on site).</t>
        </is>
      </c>
      <c r="X13" s="8" t="inlineStr">
        <is>
          <t>Recover (small-shop budget risk noted: "small father son shop"; solo voice agent à la carte is the realistic floor - pricing on the Game Plan Call only)</t>
        </is>
      </c>
      <c r="Y13" s="8" t="inlineStr">
        <is>
          <t>John - who picks up for A.P.P. on a Sunday?</t>
        </is>
      </c>
      <c r="Z13" s="8" t="inlineStr">
        <is>
          <t>Five straight years as a Nextdoor Neighborhood Favorite and 541 five-star Google reviews - and your neighbors say the reason is that you're the one answering the phone, even on Sundays.</t>
        </is>
      </c>
      <c r="AA13" s="8" t="inlineStr">
        <is>
          <t>Emergency/after-hours voice demo. The site's own title promises "24/7 Local Plumbing Services" and the replacements page says "24/7 Service", but the contact page is Mon-Fri 8-5, closed Sat-Sun, and every public source says John himself is the phone. The pitch is relief, not replacement: an AI receptionist trained on his site that only takes the calls that already ring out - when he's under a sink, on another call, or off the clock - qualifies the caller (name, number, job, urgency), books the estimate, and texts back every missed call in under a minute. Proof lever: he can dial the demo line and hear his own business answered before paying anything. Second ask: free AI-visibility audit (site has no LocalBusiness/FAQ schema). Do not lead with "AI"; lead with the 2 a.m. burst pipe and the Google Ads clicks he is already paying for.</t>
        </is>
      </c>
      <c r="AB13" s="8" t="inlineStr">
        <is>
          <t>"I answer my own phone - I don't miss calls." (Nextdoor literally praises him for "answering calls even on Sundays".) Response: agree - that's why the reviews are what they are; this only catches the calls that hit voicemail while he's on a job or on the other line, and nothing changes for callers he already picks up; the demo line lets him hear exactly what a caller would get. Secondary objection: "we're a small family shop, we don't need more work / can't justify the spend" - pivot to the calls he's already paying Google Ads for landing in voicemail, and to the Revenue Leak Scorecard; pricing stays on the Game Plan Call.</t>
        </is>
      </c>
      <c r="AC13" s="8" t="inlineStr">
        <is>
          <t>"Hi John, this is Sam with Eat 4 Life Marketing - full disclosure, this is a cold call, so feel free to hang up on me, but can I take twenty seconds? I was on your website: the page title says 24/7 plumbing, the contact page says closed Saturday and Sunday, and your Nextdoor neighbors say the reason you have five hundred five-star reviews is that you pick up the phone yourself, even on Sundays. We build a receptionist trained on your own site that only takes the calls that already ring out - when you're under a sink or off the clock - books the estimate, and texts back every missed call in under a minute. You can call a demo line and hear it answer as Affordable Professional Plumbing before you ever pay a dollar. Can I get twenty more seconds to tell you how it works, or is there a better time today?"</t>
        </is>
      </c>
      <c r="AD13" s="8" t="inlineStr">
        <is>
          <t>Tue-Thu 7:45-8:30 AM ET (right at the 8:00 open, before the first job; per playbook trades window) or 4:00-5:00 PM ET (wrapping up, still inside the published Mon-Fri 8-5 hours). Reason: no office staff is named anywhere; neighbors list "John (614) 802-9000" and say he answers calls personally, so mid-day he is likely under a sink and will let it ring. Stay inside Mon-Fri published hours even though he reportedly picks up on Sundays.</t>
        </is>
      </c>
      <c r="AE13" s="8" t="inlineStr">
        <is>
          <t>Mon-Fri 8:00 am - 5:00 pm; Saturday Closed; Sunday Closed (site contact page; Nextdoor page lists the same hours). Note: homepage &lt;title&gt; says "24/7 Local Plumbing Services" and the replacements page header says "24/7 Service".</t>
        </is>
      </c>
      <c r="AF13" s="8" t="inlineStr">
        <is>
          <t>America/New_York (Eastern)</t>
        </is>
      </c>
      <c r="AG13" s="8" t="inlineStr">
        <is>
          <t>No gatekeeper found. No office manager, dispatcher, CSR or front-desk name appears on the site, BBB ("Customer Contacts" not shown), Nextdoor or testimonials; no answering service or IVR detected. Expect John Pardo himself on (614) 802-9000 (Nextdoor: "John (614) 802-9000", "answering calls even on Sundays"), or a family co-owner (father/brother per neighbor and testimonial quotes; name Not found), or voicemail when on a job. If voicemail: leave first name, "cold call about who answers your line when you're on a job," and a callback number; do not leave the demo number on voicemail. Ask for John by first name; customers write "John" and one writes "Jon."</t>
        </is>
      </c>
      <c r="AH13" s="8" t="inlineStr">
        <is>
          <t>Nextdoor "Neighborhood Favorite" for the fifth straight year (2021-2025) plus BBB Accreditation on 2025-11-24, paired with the neutral observation that the site says 24/7 while the contact page says closed Sat-Sun and neighbors say John himself is the one answering. Source: https://nextdoor.com/pages/affordable-professional-plumbing-hilliard-oh/ and https://www.bbb.org/us/oh/hilliard/profile/plumber/affordable-professional-plumbing-llc-0302-70130771</t>
        </is>
      </c>
      <c r="AI13" s="8" t="inlineStr">
        <is>
          <t>(1) Hours vs. promise: contact page "Saturday: Closed" / "Sunday: Closed", Mon-Fri "8:00 am - 5:00 pm" (https://www.affordableprofessionalplumbing.com/contact) while the homepage title reads "Trusted Plumbers Near Me | 24/7 Local Plumbing Services in Hilliard", meta "available 24/7 in your area", and the replacements page header says "24/7 Service" with "Whether you need routine maintenance or emergency service, count on our team" (https://www.affordableprofessionalplumbing.com/replacements). (2) Single-person coverage: Nextdoor summary "He's also known for his professionalism, answering calls even on Sundays"; neighbors list "John (614) 802-9000" and "small father son shop" (https://nextdoor.com/pages/affordable-professional-plumbing-hilliard-oh/). (3) Contact friction: "Please use the form on this page to email us"; no booking, chat, text or response-time promise (page source verified); inbox is a Gmail address. (4) Paying for clicks with no capture layer: two Google Ads conversion tags on a phone-only site. Null logged: no reachability complaints found (GBP text, Yelp, Facebook unreadable; site testimonials and Nextdoor praise responsiveness: "Super responsive", "very easy to get in touch with"). No job posts found (Indeed 403; other boards not checked). BBB 0 complaints.</t>
        </is>
      </c>
      <c r="AJ13" s="8" t="inlineStr">
        <is>
          <t>BBB Accredited Business since 2025-11-24 (bbb.org profile) - ~11 months old, outside the 180-day window. Homepage schema dateModified 2025-12-08 and the "24/7" retitle (view-source) - ~10 months. Nextdoor Neighborhood Favorite 2025 (fifth consecutive year; award date within 2025 not shown). Seasonal (vertical calendar inference, not business-specific): central Ohio water-heater/frozen-pipe season Nov-Feb ahead. No dated trigger within 60-180 days found; no hiring post found (Indeed company page 403; ZipRecruiter/LinkedIn Jobs/Craigslist not checked).</t>
        </is>
      </c>
      <c r="AK13" s="8" t="inlineStr">
        <is>
          <t>(1) Owner-signed Nextdoor post: "From our family to yours... As a family business" (3 Dec 2020, nextdoor.com/pages/affordable-professional-plumbing-hilliard-oh/). (2) Community footprint: Nextdoor Neighborhood Favorite 2021-2025; BBB Accredited since 2025-11-24, A+ (bbb.org profile). (3) Site copy stresses relationship over scale: "We'll treat you like a friend, not just a customer"; "Support Your Local Plumbing Company" (affordableprofessionalplumbing.com). (4) Dated-but-maintained site: "Copyright © 2022", WordPress 6.1, yet schema dateModified 2025-12-08; Facebook/Nextdoor-centric, no LinkedIn. (5) Owner is the phone: neighbors post "John (614) 802-9000", "small father son shop"; summary "answering calls even on Sundays"; site CTA "call 614-802-9000 now", no booking/chat. Contradicting signal for Overwhelmed: zero missed-call complaints found; testimonials say "very easy to get in touch with" and "Super responsive". Review-reply behavior could not be observed (GBP/Yelp unreachable), so confidence stays medium.</t>
        </is>
      </c>
      <c r="AL13" s="8" t="inlineStr">
        <is>
          <t>Self-stated: "Over a Decade of Experience Solving Your Plumbing Problems" (site); "As a family business" (John Pardo, Nextdoor post 3 Dec 2020). Entity formed March 2017; prior name Affordable Professional Plumbers, LLC (OpenCorporates). Third-party only (do not use in outreach): a Nextdoor neighbor calls it a "small father son shop"; a customer testimonial republished on the site says "One of the brothers that owns the business is a Veteran." Second owner's name: Not found. No podcasts, interviews, trade-school or license-board bio found (OCILB license lookup is JS-only, not checked).</t>
        </is>
      </c>
      <c r="AM13" s="8" t="inlineStr">
        <is>
          <t>Warm, plain-spoken, family-and-neighbor framing. Site: "We'll treat you like a friend, not just a customer." / "We'll provide you with a detailed quote, so you know exactly what you're getting into." / "Support Your Local Plumbing Company". Nextdoor (owner-signed, Dec 2020): "From our family to yours. To our Loyal Customers: As a family business, we empathize with all the businesses..." Customers describe him as hands-on: "John came to give us an estimate... and came back to fix them on agreed time and day"; "He's very easy to get in touch with"; "Super responsive, quick work". Brag points: free estimates on every project, detailed quotes, 541 five-star Google reviews, BBB A+ (accredited Nov 2025), Nextdoor Neighborhood Favorite five years running. Tone label: warm_personal. Communication is phone-first; no evidence of LinkedIn use or marketing talk.</t>
        </is>
      </c>
      <c r="AN13" s="8" t="inlineStr">
        <is>
          <t>Owner-operator</t>
        </is>
      </c>
      <c r="AO13" s="8" t="inlineStr">
        <is>
          <t>Not found (LinkedIn X-ray could not be run this session: WebSearch budget exhausted; no LinkedIn href on the site)</t>
        </is>
      </c>
      <c r="AP13" s="8" t="inlineStr">
        <is>
          <t>Facebook (site footer): https://www.facebook.com/Affordable-Professional-Plumbing-370225667082173/ and (BBB link) https://www.facebook.com/p/Affordable-Professional-Plumbing-100068183377161/ (login wall, content not readable). Nextdoor business page: https://nextdoor.com/pages/affordable-professional-plumbing-hilliard-oh/ (active, Neighborhood Favorite 2021, 2022, 2023, 2024, 2025; owner-signed post Dec 2020; 30+ photos). Yelp: https://www.yelp.com/biz/affordable-professional-plumbing-hilliard (403, not readable). No Instagram/TikTok/YouTube links found on the site.</t>
        </is>
      </c>
      <c r="AQ13" s="8" t="inlineStr">
        <is>
          <t>https://www.affordableprofessionalplumbing.com/</t>
        </is>
      </c>
      <c r="AR13" s="8" t="inlineStr">
        <is>
          <t>affordableplumber72@gmail.com (site header mailto + contact page + Nextdoor page; business free-mail, not owner-named)</t>
        </is>
      </c>
      <c r="AS13" s="8" t="inlineStr">
        <is>
          <t>3840 Lacon Rd Ste 21, Hilliard, OH 43026 (BBB; buildermuse/Google Places shows "3840 Lacon Rd #21")</t>
        </is>
      </c>
      <c r="AT13" s="8" t="inlineStr">
        <is>
          <t>43026</t>
        </is>
      </c>
      <c r="AU13" s="8" t="inlineStr">
        <is>
          <t>Hilliard, Dublin, Columbus, Galloway (installations page) plus "surrounding areas" (repairs/replacements pages)</t>
        </is>
      </c>
      <c r="AV13" s="8" t="inlineStr">
        <is>
          <t>https://www.google.com/maps/place/?q=place_id:ChIJM-H7nVSROIgRRV6pCJvfpAc (place_id via buildermuse); site also links https://g.page/affordable-professional-plumbing?share</t>
        </is>
      </c>
      <c r="AW13" s="8" t="inlineStr">
        <is>
          <t>5.0 (Google, via buildermuse.com Places data dated 2026-04-12; GBP itself not fetchable this run)</t>
        </is>
      </c>
      <c r="AX13" s="8" t="inlineStr">
        <is>
          <t>541 (Google, via buildermuse.com, data as of 2026-04-12)</t>
        </is>
      </c>
      <c r="AY13" s="8" t="inlineStr">
        <is>
          <t>LLC articles of organization filed 2017-03-09 (Ohio SOS via OpenCorporates #4001951; BBB foundingDate 2017-03-09). Site claims "Over a Decade of Experience" (experience, not founding). Prior entity name "Affordable Professional Plumbers, LLC", amended 2019-01-02.</t>
        </is>
      </c>
      <c r="AZ13" s="8" t="inlineStr">
        <is>
          <t>Not published. Site: "a small plumbing business in Hilliard, OH"; Nextdoor neighbor: "small father son shop out of hillard"; site testimonial: "One of the brothers that owns the business"; OpenCorporates: "2 officers" (login-gated). Read: roughly 2-4 people, owner on the tools.</t>
        </is>
      </c>
      <c r="BA13" s="8" t="inlineStr">
        <is>
          <t>1 (single Hilliard address on BBB/Places; no locations page; OpenCorporates shows one Ohio LLC)</t>
        </is>
      </c>
      <c r="BB13" s="8" t="inlineStr">
        <is>
          <t>Repairs: drain, drain line, faucet, water line, water heater, tankless water heater, garbage disposal, shower/tub valve, toilet. Installations: water heater (tankless or traditional), garbage disposal, sinks, vanities, utility sink, ball valves, faucets. Replacements: main shut-off valves, shower drains, expansion tanks, hot water heaters. "Our main focus is on residential plumbing, but we also offer commercial plumbing services." No sewer, repipe, sump pump or gas line listed; no financing.</t>
        </is>
      </c>
      <c r="BC13" s="8" t="inlineStr">
        <is>
          <t>basic - SSL, contact form, claimed GBP/Nextdoor/BBB, Google Ads conversion tags + GA/GTM; no online booking, chat, text-us, call tracking, financing or review-request tooling; no LocalBusiness/FAQPage schema</t>
        </is>
      </c>
      <c r="BD13" s="8" t="inlineStr">
        <is>
          <t>diy (template WordPress/Elementor/Divi site, no agency credit, stale copyright) with one step up: two Google Ads conversion IDs (AW-16463162448, AW-17949742938) and GA (UA-233566776-1) in source, so someone has set up paid-click tracking; who manages it is not found</t>
        </is>
      </c>
      <c r="BE13" s="8" t="inlineStr">
        <is>
          <t>established (entity 2017, ~9 years; 541 Google reviews at 5.0; single location; BBB accreditation added Nov 2025; last-90-day review velocity and hiring not observable this run)</t>
        </is>
      </c>
      <c r="BF13" s="8" t="inlineStr">
        <is>
          <t>unknown (Google review text and owner replies not fetchable: Maps/Search blocked; Yelp 403; Facebook login wall). BBB: 0 complaints in 3 years.</t>
        </is>
      </c>
      <c r="BG13" s="8" t="inlineStr">
        <is>
          <t>Not stated anywhere. Hours published as Mon-Fri 8-5, closed Sat/Sun (site contact page + Nextdoor). No answering-service, call-center, IVR or AI-receptionist script or mention in page source, BBB, or Nextdoor. Site simultaneously advertises "24/7 Local Plumbing Services" (homepage title/meta) and "24/7 Service" / "emergency service" (replacements page). Nextdoor page summary says John is "answering calls even on Sundays" - i.e. after-hours coverage is the owner personally, when he can.</t>
        </is>
      </c>
      <c r="BH13" s="8" t="inlineStr">
        <is>
          <t>None. CTAs are "Call us today for a free estimate! (614) 802-9000" and a contact form ("Please use the form on this page to email us"). No calendly/acuity/housecallpro/servicetitan/jobber or any scheduler script in source. No "Book" button detected on any site page.</t>
        </is>
      </c>
      <c r="BI13" s="8" t="inlineStr">
        <is>
          <t>None. No tidio/intercom/drift/tawk/livechat/podium/birdeye/textline scripts in homepage source; no "text us" wording. Contact form gives no response-time promise.</t>
        </is>
      </c>
      <c r="BJ13" s="8" t="inlineStr">
        <is>
          <t>WordPress 6.1 (meta generator), Elementor 3.6.6, Divi; Google Analytics UA-233566776-1; Google Ads conversion tags AW-16463162448 and AW-17949742938 (gtag 'conversion' event fires on page load); Google Tag Manager/gtag. Yoast-style JSON-LD (WebSite/WebPage/Breadcrumb only; no LocalBusiness/FAQPage/Service). No call tracking (CallRail/CTM), no chat, no booking, no financing (Wisetack/GreenSky), no answering service, no AI receptionist, no agency footer credit. Email on Gmail (free-mail).</t>
        </is>
      </c>
      <c r="BK13" s="8" t="inlineStr">
        <is>
          <t>Likely Google Ads, unconfirmed active: two Google Ads conversion IDs are hard-coded on the homepage (view-source https://www.affordableprofessionalplumbing.com/), which only exist with a Google Ads account. Not checked (blocked/JS this run): Google Ads Transparency Center, LSA/Google Guaranteed badge, Meta Ad Library, Yelp Ads, Angi/Thumbtack listings.</t>
        </is>
      </c>
      <c r="BL13" s="8" t="inlineStr">
        <is>
          <t>not checked - no AI platform (ChatGPT/Perplexity/Gemini) reachable from this session and WebSearch budget exhausted. Schema side checked: homepage JSON-LD has only WebSite/WebPage/Breadcrumb; no LocalBusiness, Service or FAQPage markup; no FAQ page. D4 scored 0 / NO EVIDENCE; run 1-3 plumbing money questions ("emergency plumber near Hilliard, OH", "plumber that answers the phone Hilliard, OH", "who should I call for a burst pipe in Hilliard, OH") before send.</t>
        </is>
      </c>
      <c r="BM13" s="8" t="inlineStr">
        <is>
          <t>PASS on public checks: independent single-location Ohio LLC (OpenCorporates #4001951, Active; no franchise/parent; registered agent is a filing service, not a holding co.); working own-domain WordPress site (200 OK); live US business (BBB accredited Nov 2025, Nextdoor activity 2026, Places data Apr 2026); phone + form inbound channel; plumbing contractor, not a competitor category; no AI receptionist/answering-service vendor in source; no "no solicitation" notice found. Suppression.csv / seen.csv grep: no match (only hit was a different company, Affordable Service Plumbing, Rio Rancho NM, asph.com). NOT run this pass: GHL 'E4L Services' dedupe (ghl-contacts.js) and Voice-AI demo-pool check - orchestrator should run before load.</t>
        </is>
      </c>
      <c r="BN13" s="8" t="inlineStr">
        <is>
          <t>D1 Decision-maker: 8/20 - Full name + role from two sources (BBB "John Pardo, Owner" https://www.bbb.org/us/oh/hilliard/profile/plumber/affordable-professional-plumbing-llc-0302-70130771; Nextdoor post signed "John Pardo" 3 Dec 2020 https://nextdoor.com/pages/affordable-professional-plumbing-hilliard-oh/) but the only email is the business free-mail affordableplumber72@gmail.com (site mailto, Nextdoor) and no LinkedIn/second phone; call-first / DEMO PATH route. | D2 Phone gap: 15/15 - Phone-first (header "Call us today for a free estimate! (614) 802-9000", "call 614-802-9000 now") AND gap (a): hours "Saturday: Closed / Sunday: Closed" (site contact page) while title/meta say "24/7 Local Plumbing Services" and replacements page says "24/7 Service... emergency service"; plumbing is inherently urgent; (c) no answering service/AI mention anywhere in source, BBB or Nextdoor. | D3 Leak evidence: 5/15 - exactly one signal type: (5) booking/contact friction verified in page source (no scheduler, no chat/text, form with no response promise, "Please use the form on this page to email us"). Null logged for (1) review complaints: GBP text/Maps blocked, Yelp 403, Facebook login wall; site testimonials/Nextdoor actually praise responsiveness ("Super responsive", "very easy to get in touch with", "answering calls even on Sundays"); (2) job posts: Indeed 403, not found; (3) reply rate: unobservable; (4) Yelp badges: unobservable; (6) BBB complaints: 0. | D4 AI visibility: 0/10 NO EVIDENCE - no AI platform could be checked this session; schema check done (no LocalBusiness/FAQPage JSON-LD on https://www.affordableprofessionalplumbing.com/), which would support 10 once questions are run. | D5 ICP/ability: 15/15 - (a) independently owned, 1 location, named owner, "family business"; (b) plumbing = core niche; (c) proxies: 3+ years (LLC 2017-03-09, OpenCorporates/BBB), 100+ reviews (541 at 5.0, buildermuse Google data 2026-04-12), per-customer value via water heater install/replacement (plumbing $1.5-5k row), service area of 4 cities (installations page: Hilliard, Dublin, Columbus, Galloway). Caveat: "small plumbing business"/"father son shop" - budget risk, note for Scorecard/solo-agent fallback. | D6 Timing/spend: 7/15 - exactly one paid-media signal, no trigger inside 180 days: Google Ads conversion tags AW-16463162448 and AW-17949742938 in homepage source (group a). Negatives logged: Ads Transparency Center, LSA badge, Meta Ad Library, Yelp/Angi not checkable; no agency credit; no call tracking; BBB accreditation (2025-11-24) and site modification (2025-12-08) are 10-11 months old. | D7 Attitude/stack: 6/10 - net +1: positives (b) SSL present, (e) growth/reputation posture (BBB accreditation Nov 2025, Nextdoor Neighborhood Favorite 2021-2025); negative: footer "Copyright © 2022" (4+ years stale, WordPress 6.1). Review-reply tone unobservable. No incumbent agency; DIY WordPress = greenfield. | TOTAL 56 = QUALIFIED (55-74), call-first/DEMO PATH. Minimum-evidence: 6 of 7 dimensions carry evidence (D4 is the gap); D1 positive citation; D2 direct (quoted hours + 24/7 strings); D5 cited. GHL dedupe not run in this pass, so treat as PROVISIONAL until the orchestrator runs ghl-contacts.js; score is conservative - one GEO money-question check would likely add 6-10.</t>
        </is>
      </c>
      <c r="BO13" s="8" t="inlineStr">
        <is>
          <t>https://www.affordableprofessionalplumbing.com/contact, https://www.affordableprofessionalplumbing.com/, https://www.affordableprofessionalplumbing.com/replacements, https://nextdoor.com/pages/affordable-professional-plumbing-hilliard-oh/, https://www.bbb.org/us/oh/hilliard/profile/plumber/affordable-professional-plumbing-llc-0302-70130771, https://opencorporates.com/companies/us_oh/4001951, https://www.affordableprofessionalplumbing.com/testimonials, https://www.affordableprofessionalplumbing.com/installations, https://www.affordableprofessionalplumbing.com/repairs, https://buildermuse.com/contractors/oh/plumber/, https://www.facebook.com/Affordable-Professional-Plumbing-370225667082173/, https://www.facebook.com/p/Affordable-Professional-Plumbing-100068183377161/, https://www.yelp.com/biz/affordable-professional-plumbing-hilliard</t>
        </is>
      </c>
      <c r="BP13" s="8" t="inlineStr">
        <is>
          <t>Medium</t>
        </is>
      </c>
      <c r="BQ13" s="8" t="inlineStr">
        <is>
          <t>Title detail: Owner (BBB "Business Management: Mr. John Pardo, Owner"; signs Nextdoor business post "John Pardo" 3 Dec 2020). Route call-first (Sam) with the demo number; email is a Gmail inbox, not owner-named, so an email slot is a weak bet - if used, send plain-text to affordableplumber72@gmail.com addressed to John. Score 56 is conservative: D4 is 0/NO EVIDENCE because no AI platform was reachable this run and D3 is friction-only because Google review text, Yelp (403), Facebook (login wall) and Indeed (403) were all blocked; running one GEO money question and reading the 20 newest Google reviews could move this into the 60s. Note the counter-signal honestly: every readable review praises his responsiveness, so the pitch is "the calls you physically can't take" and after-hours, never "you're missing calls." There appears to be a second owner (brother/father per third-party quotes; OpenCorporates shows 2 officers, login-gated) whose name is Not found - Sam should ask who else is involved in decisions. Do not reference the veteran or family details from the testimonial in outreach (third-party, personal). GHL dedupe and demo-pool check were not run in this pass. Case-study proximity: E4L has HVAC+plumbing clients (NexGen, Home Comfort) to cite generically.</t>
        </is>
      </c>
      <c r="BR13" s="10" t="inlineStr"/>
      <c r="BS13" s="10" t="inlineStr"/>
      <c r="BT13" s="10" t="inlineStr"/>
    </row>
    <row r="14" ht="120" customHeight="1">
      <c r="A14" s="8" t="inlineStr">
        <is>
          <t>20261013-13</t>
        </is>
      </c>
      <c r="B14" s="8" t="inlineStr">
        <is>
          <t>2026-10-13</t>
        </is>
      </c>
      <c r="C14" s="8" t="n">
        <v>2</v>
      </c>
      <c r="D14" s="10" t="inlineStr"/>
      <c r="E14" s="10" t="inlineStr">
        <is>
          <t>New</t>
        </is>
      </c>
      <c r="F14" s="8" t="n">
        <v>56</v>
      </c>
      <c r="G14" s="8">
        <f>IF(F14="","",IF(F14&gt;=80,"A — send today",IF(F14&gt;=60,"B — worth a touch",IF(F14&gt;=40,"C — hold","D — reject"))))</f>
        <v/>
      </c>
      <c r="H14" s="8" t="inlineStr">
        <is>
          <t>Phase NW LLC (Phase NW Electricians)</t>
        </is>
      </c>
      <c r="I14" s="8" t="inlineStr">
        <is>
          <t>Eugene</t>
        </is>
      </c>
      <c r="J14" s="8" t="inlineStr">
        <is>
          <t>Brown</t>
        </is>
      </c>
      <c r="K14" s="8" t="inlineStr">
        <is>
          <t>Owner / Master Electrician</t>
        </is>
      </c>
      <c r="L14" s="8" t="inlineStr">
        <is>
          <t>sales@phasenw.com</t>
        </is>
      </c>
      <c r="M14" s="8" t="inlineStr">
        <is>
          <t>Generic (info@/office@)</t>
        </is>
      </c>
      <c r="N14" s="8" t="inlineStr">
        <is>
          <t>Confirmed</t>
        </is>
      </c>
      <c r="O14" s="8" t="inlineStr">
        <is>
          <t>Not found. Main line +1 206-487-7278; Nextdoor lists a second business number +1 253-893-9060 with no name attached (not confirmed owner-direct; do not treat as a cell).</t>
        </is>
      </c>
      <c r="P14" s="8" t="inlineStr">
        <is>
          <t>+1 206-487-7278 (main line: site header tel: link, BBB, ProvenExpert). Second business line +1 253-893-9060 listed on Nextdoor page (not tied to the owner). The (833) 833-7427 number the scout saw on BBB was NOT present on BBB when fetched 2026-10-14.</t>
        </is>
      </c>
      <c r="Q14" s="8" t="inlineStr">
        <is>
          <t>Electrical (residential electrician: EV chargers, panel upgrades, whole-house generators, rewires)</t>
        </is>
      </c>
      <c r="R14" s="8" t="inlineStr">
        <is>
          <t>core</t>
        </is>
      </c>
      <c r="S14" s="8" t="inlineStr">
        <is>
          <t>Kent</t>
        </is>
      </c>
      <c r="T14" s="8" t="inlineStr">
        <is>
          <t>WA</t>
        </is>
      </c>
      <c r="U14" s="8" t="inlineStr">
        <is>
          <t>The site is being actively built out right now (service and service-area pages updated late July 2026 per the sitemap) and it sells the biggest tickets in residential electrical - EV chargers, panel upgrades, Span panels, whole-house generators - yet the published hours stop at 4 PM Mon-Fri with no after-hours path. Heading into Q4 (PNW windstorm/outage season - seasonal inference, not business-specific evidence), generator and panel inquiries that land after hours have nowhere to go. A Google Ads tag on the site means they may be paying for some of those clicks.</t>
        </is>
      </c>
      <c r="V14" s="8" t="inlineStr">
        <is>
          <t>Tech-Forward Early Adopter (secondary: Growth-Minded Operator); confidence medium</t>
        </is>
      </c>
      <c r="W14" s="8" t="inlineStr">
        <is>
          <t>Voice AI live demo built from phasenw.com (answers evenings/weekends, triages sparking/burning-smell as urgent, books EV-charger/panel/generator estimates into Housecall Pro) + missed-call text-back on the (206) line</t>
        </is>
      </c>
      <c r="X14" s="8" t="inlineStr">
        <is>
          <t>Recover</t>
        </is>
      </c>
      <c r="Y14" s="8" t="inlineStr">
        <is>
          <t>Gene - who picks up at Phase NW after 4?</t>
        </is>
      </c>
      <c r="Z14" s="8" t="inlineStr">
        <is>
          <t>Gene - a Nextdoor Neighborhood Fave two years running and 120 five-star Google reviews for a small Kent crew is rare; the one gap I could find is that phasenw.com lists hours of Mon-Fri 8 to 4, and nothing says who answers a panel-upgrade or EV-charger call after that.</t>
        </is>
      </c>
      <c r="AA14" s="8" t="inlineStr">
        <is>
          <t>Missed-call / after-hours coverage for high-ticket work, framed for a tech-forward owner-operator: you already book through Housecall Pro and ask for reviews with pulsem, so the only hole is the phone when you are on a ladder or it is Saturday. We build a receptionist trained on your own site that answers those calls, qualifies them (name, address, job, is anything sparking or smelling hot), and books straight into Housecall Pro; go-live is one conditional call-forwarding rule on the (206) line and rollback is one dial code. Proof lever: the demo number exists before any money changes hands - call it and try to break it. Do not pitch booking (they have it) or reviews (they have it).</t>
        </is>
      </c>
      <c r="AB14" s="8" t="inlineStr">
        <is>
          <t>'It's just me and two guys - I answer my own phone' / 'Housecall Pro already handles my scheduling' / 'I don't want a robot talking to my customers.' Response: it only catches the calls that already hit voicemail (evenings, weekends, mid-job); it books into the Housecall Pro you already run; a human still gets every call you can take; hear it first on the demo line, nothing to sign before that. Price sensitivity is likely for a 3-person shop - keep setup effort at zero and talk about one recovered panel job, not plans.</t>
        </is>
      </c>
      <c r="AC14" s="8" t="inlineStr">
        <is>
          <t>Hi, is this Gene? Gene, Sam with Eat 4 Life Marketing - this is a cold call, so you can hang up on me, but give me twenty seconds. I was on phasenw.com this morning: 120 five-star reviews and a Nextdoor Fave two years running, but the hours say Monday to Friday, eight to four. So when a Bellevue homeowner wants a panel upgrade or an EV charger at six o'clock or on a Saturday, who picks up - you, voicemail, or nobody? We build a receptionist trained on your own site that answers those calls and books them straight into your Housecall Pro, and we'd build a demo line for Phase NW you can call and try to break before you pay a dollar. Can I take twenty seconds to explain how it works, or is there a better time to catch you?</t>
        </is>
      </c>
      <c r="AD14" s="8" t="inlineStr">
        <is>
          <t>Tue-Thu 7:15-8:00 AM PT (Nextdoor hours open 7 AM, site schema 8 AM; owner works jobs himself per site testimonial 'The owner personally came out and completed the job', so catch him before dispatch). Backup Tue-Thu 4:00-4:45 PM PT. Weekday-hours-only line; nothing after 5 PM PT.</t>
        </is>
      </c>
      <c r="AE14" s="8" t="inlineStr">
        <is>
          <t>Site JSON-LD openingHours: 'Mo,Tu,We,Th,Fr 08:00-16:00'. Nextdoor business page: Monday-Friday 7:00 AM-5:00 PM, closed Saturday and Sunday. ProvenExpert: 'Appointments by request only'. No hours shown on the site's Contact page or BBB. Google Business Profile hours string could not be fetched directly this session (CONFLICT 8-4 vs 7-5: both are weekday-only, no evening/weekend coverage either way).</t>
        </is>
      </c>
      <c r="AF14" s="8" t="inlineStr">
        <is>
          <t>America/Los_Angeles (Pacific Time)</t>
        </is>
      </c>
      <c r="AG14" s="8" t="inlineStr">
        <is>
          <t>No office manager, dispatcher or receptionist is named anywhere (site, BBB, LinkedIn, Nextdoor); BBB lists 3 employees and every named person is a field electrician (Gene, Kade, Kyle, Trae). Expect Gene himself or a tech to answer the (206) 487-7278 line - one site testimonial says 'the supervisor promptly called to reschedule', so a second person does handle scheduling calls. ProvenExpert says 'Appointments by request only', so daytime calls may roll to voicemail while they are on jobs; if voicemail, leave the 20-second version and try the 7:15 AM window next day. Ask for 'Gene' (not Eugene). A second published business number, +1 253-893-9060 (Nextdoor), is a fallback line, not a confirmed cell - manual dial only.</t>
        </is>
      </c>
      <c r="AH14" s="8" t="inlineStr">
        <is>
          <t>Nextdoor 'Neighborhood Fave' 2025 - second win after 2022 - for a three-person shop, paired with 120 five-star Google reviews (https://nextdoor.com/pages/phase-nw-llc/). Safe, specific, positive, and it is on a page Gene manages himself.</t>
        </is>
      </c>
      <c r="AI14" s="8" t="inlineStr">
        <is>
          <t>(1) Weekday-only hours in an inherently urgent trade: site schema 'Mo,Tu,We,Th,Fr 08:00-16:00'; Nextdoor 'Closed Saturday and Sunday'; ProvenExpert 'Appointments by request only' - nobody on the line evenings/weekends while the services sold are $1,500-$15k tickets (EV chargers, panel upgrades, whole-house generators). (2) Owner is the field crew: site testimonial 'The owner personally came out and completed the job'; 'Gene showed up as promised'; another testimonial notes 'the electrician couldn't make it due to an emergency, but the supervisor promptly called to reschedule' - a 3-person shop with no office staff named anywhere. (3) Review-platform gap: Google 5.0/120 vs Yelp 2.5-2.8 on 5-6 reviews (Expertise.com, ProvenExpert); the Yelp negatives could not be read (403) so NO verbatim reachability complaint is on file - do not claim one. (4) No chat/text channel on the site; contact form carries no response-time promise. No receptionist/CSR job post found (job boards not searchable this session - null logged, not a confirmed absence).</t>
        </is>
      </c>
      <c r="AJ14" s="8" t="inlineStr">
        <is>
          <t>Site actively being expanded: electrician-category and electrician-location sitemaps lastmod 2026-07-30, electrician-service sitemap 2026-07-26, page sitemap 2026-06-02 (new service-area/service pages ~2.5 months ago). Nextdoor 'Neighborhood Fave' award 2025 (second win after 2022) - award date not shown on page. Nextdoor promo post 21 Mar 2025: 15% off panel upgrades/service changes 'until the end of April' (stale, &gt;180 days). No dated trigger within 60 days confirmed. Seasonal inference only (not scored): PNW windstorm/outage season Nov-Jan drives generator inquiries, which the site sells.</t>
        </is>
      </c>
      <c r="AK14" s="8" t="inlineStr">
        <is>
          <t>Website category (5 signals): Housecall Pro booking/lead form embedded (homepage source); pulsem review-request tool + Trustindex widget (homepage source); Rank Math JSON-LD schema with openingHours (homepage source); GTM + GA4 + Google Ads conversion tag AW-11080718517 (homepage source); WordPress 6.9/Divi site with service and location pages updated July 2026 (sitemap lastmod 2026-07-30). Social category (2 signals): Nextdoor page with 43 recommendations and self-posted 15%-off panel-upgrade promo (21 Mar 2025); Nextdoor Neighborhood Fave 2022 and 2025. Growth-minded secondary: 19-city service-area pages added 2026; discount campaign for high-ticket panel work. No contradicting signal (no 'no robots'/anti-automation copy; no agency-burned statements). Review-reply pattern unknown (Google/Yelp not readable) - which is why confidence is medium, not high.</t>
        </is>
      </c>
      <c r="AL14" s="8" t="inlineStr">
        <is>
          <t>Master electrician: site 'Our team is led by Gene, a master electrician whose journey in the electrical field spans over 30 years' (https://www.phasenw.com/); Expertise.com: 'The company's owner, Eugene Brown, is a certified master electrician'. WA contractor license PHASENL831KN (Expertise, Nextdoor). Company described as 'family owned and operated' (Nextdoor, Expertise). BBB A+ accredited since 2018 with 0 complaints. No prior career, military, podcast or press found.</t>
        </is>
      </c>
      <c r="AM14" s="8" t="inlineStr">
        <is>
          <t>OBSERVED: site copy is professional third-person, no hype ('We respect your time', 'shows up prepared and ready to work'); customers describe Gene as 'professional responsive friendly and efficient' and praise 'work ethic, knowledge and honesty' (Nextdoor 4 Nov 24); reputation-conscious (BBB accreditation since 2018, review-request tooling, Trustindex widget, Nextdoor Fave badges); Nextdoor posts are plain promo offers ('mention where you heard about us'). Niche-playbook read applies: technical, pragmatic, allergic to hype, will call the demo and try to break it. No review replies were visible on any readable source, so reply tone is unknown.</t>
        </is>
      </c>
      <c r="AN14" s="8" t="inlineStr">
        <is>
          <t>Owner-operator</t>
        </is>
      </c>
      <c r="AO14" s="8" t="inlineStr">
        <is>
          <t>Not found (owner personal profile not located; web-search budget exhausted before the LinkedIn X-ray could run). Company page: https://www.linkedin.com/company/phase-nw-electricians/ ('2-10 employees', 'Self-Employed'; the only 'employee' shown is an unrelated handle 'Rogue Wolf gaming').</t>
        </is>
      </c>
      <c r="AP14" s="8" t="inlineStr">
        <is>
          <t>Company accounts only (from site footer/JSON-LD): Facebook https://www.facebook.com/people/Phase-NW-Electricians/61561931171405/ (not readable), X https://x.com/PhaseNWElectric (not readable), Nextdoor https://nextdoor.com/pages/phase-nw-llc/ (43 recommendations, last post 21 Mar 2025), Yelp https://www.yelp.com/biz/phase-nw-kent-4 (403), about.me/phasenwusa (company bio, no owner name). No owner personal social found.</t>
        </is>
      </c>
      <c r="AQ14" s="8" t="inlineStr">
        <is>
          <t>https://www.phasenw.com</t>
        </is>
      </c>
      <c r="AR14" s="8" t="inlineStr">
        <is>
          <t>sales@phasenw.com (site Contact page, Nextdoor, ProvenExpert); contact@phasenw.com (site JSON-LD 'email' property only)</t>
        </is>
      </c>
      <c r="AS14" s="8" t="inlineStr">
        <is>
          <t>8601 S 212th St, Kent, WA 98031 (site JSON-LD, BBB, Nextdoor, ProvenExpert all agree)</t>
        </is>
      </c>
      <c r="AT14" s="8" t="inlineStr">
        <is>
          <t>98031</t>
        </is>
      </c>
      <c r="AU14" s="8" t="inlineStr">
        <is>
          <t>Kent plus 'Auburn, Bellevue, Covington, Des Moines, Federal Way...' (site; 19 service-area pages per electrician-location sitemap); BBB: 'Greater Puget Sound area, Washington'</t>
        </is>
      </c>
      <c r="AV14" s="8" t="inlineStr">
        <is>
          <t>https://maps.app.goo.gl/rHmNvbYxyJS4ehj38 (link published in the site's own JSON-LD sameAs)</t>
        </is>
      </c>
      <c r="AW14" s="8" t="inlineStr">
        <is>
          <t>5.0 per Expertise.com listing (GBP not fetched directly this session); site Trustindex widget: 'EXCELLENT Based on 9 reviews'; Yelp 2.8 (Expertise) / 2.50 (ProvenExpert); Facebook 5.0; Nextdoor 43 recommendations</t>
        </is>
      </c>
      <c r="AX14" s="8" t="inlineStr">
        <is>
          <t>120 Google (Expertise.com); Yelp 5-6; Facebook 4; Nextdoor 43 recommendations (Neighborhood Fave 2022 and 2025)</t>
        </is>
      </c>
      <c r="AY14" s="8" t="inlineStr">
        <is>
          <t>Company started 2017-05-15 (BBB foundingDate); BBB Accredited since 2018-03-29. Site: 'Gene, a master electrician whose journey in the electrical field spans over 30 years' (owner experience, not company age). CONFLICT note: Expertise.com says the owner's career 'spans over eight years' vs site '30 years' - both recorded, neither used in copy.</t>
        </is>
      </c>
      <c r="AZ14" s="8" t="inlineStr">
        <is>
          <t>3 employees (BBB 'Number of employees'); LinkedIn company page '2-10 employees', 'Self-Employed'; named field staff: Gene (owner), Kade (Nextdoor), Kyle and Trae (site testimonials)</t>
        </is>
      </c>
      <c r="BA14" s="8" t="inlineStr">
        <is>
          <t>1 (single address on site, BBB, Nextdoor; no locations/franchise page)</t>
        </is>
      </c>
      <c r="BB14" s="8" t="inlineStr">
        <is>
          <t>EV Charger Installation, Electrical Panel Upgrades, Whole House Generators, Portable Generator Interlocks &amp; Inlets, Span Panels, home rewires, lighting, outlet repair, smart home automation, electrical safety inspections (phasenw.com service menu; LinkedIn About)</t>
        </is>
      </c>
      <c r="BC14" s="8" t="inlineStr">
        <is>
          <t>modern (Housecall Pro booking, pulsem review requests, Trustindex, GTM/GA4/Google Ads tag, LocalBusiness-type schema; no chat/text widget, no financing portal)</t>
        </is>
      </c>
      <c r="BD14" s="8" t="inlineStr">
        <is>
          <t>diy (no agency credit; Rank Math SEO plugin on a Divi/WordPress site; self-posted Nextdoor promos; Google Ads tag installed but no agency landing pages or call tracking)</t>
        </is>
      </c>
      <c r="BE14" s="8" t="inlineStr">
        <is>
          <t>established (since 2017 per BBB, 120 Google reviews, 3 staff, single location; service-area pages expanding in 2026)</t>
        </is>
      </c>
      <c r="BF14" s="8" t="inlineStr">
        <is>
          <t>unknown (Google owner replies not retrievable this session; the site's Trustindex widget renders 9 reviews with zero owner replies, which may be a widget setting; Yelp 403; BBB 0 complaints)</t>
        </is>
      </c>
      <c r="BG14" s="8" t="inlineStr">
        <is>
          <t>No after-hours coverage found. Hours are weekday-only (site schema Mon-Fri 8-4; Nextdoor Mon-Fri 7-5, closed Sat/Sun); ProvenExpert 'Appointments by request only'. No mention of 24/7, emergency line, answering service or AI receptionist anywhere on the site, in page source (checked smith.ai, goodcall, dialzara, rosie, slang, avoca, voctiv - none), BBB, Nextdoor or ProvenExpert. Header CTA is 'Call Us (206) 487-7278' - phone-first.</t>
        </is>
      </c>
      <c r="BH14" s="8" t="inlineStr">
        <is>
          <t>Yes - Housecall Pro: online-booking.housecallpro.com/script.js (orgName=Phase-NW-Electricians) and book.housecallpro.com/lead-form/Phase-NW-Electricians embedded in homepage source. It is a lead form, not real-time slot booking as far as could be seen (the HCP page itself renders only 'Online booking' heading without JS). So the voice-AI pitch is 'answer the after-hours call and book it into Housecall Pro', not 'add booking'.</t>
        </is>
      </c>
      <c r="BI14" s="8" t="inlineStr">
        <is>
          <t>None. No chat widget, 'text us' button, or click-to-text found in homepage or Contact page source (checked tidio, intercom, podium, birdeye, drift, tawk, livechat, textline, leadconnector).</t>
        </is>
      </c>
      <c r="BJ14" s="8" t="inlineStr">
        <is>
          <t>WordPress 6.9.10 + Divi child theme (meta generator); Rank Math SEO Pro (JSON-LD schema: Electrician/Organization with openingHours, no FAQPage); Housecall Pro (booking/lead form); pulsem by Speetra (review-request tool, embed-pulsemweb-gsd.js); Trustindex review widget; Google Tag Manager GTM-TS2XQ7TQ; GA4 G-YZKN7WVS8F; Google Ads conversion tag AW-11080718517. NOT found: Meta pixel (scout claimed fbq - no fbq/fbevents/facebook.net in page source on 2026-10-14), CallRail/CTM, chat, financing (Wisetack/GreenSky/Synchrony). No agency footer credit - DIY/freelance WordPress stack.</t>
        </is>
      </c>
      <c r="BK14" s="8" t="inlineStr">
        <is>
          <t>Not confirmable this session. Google Ads conversion tag AW-11080718517 is installed on the site (page source) which indicates a Google Ads account exists or existed, but Google Ads Transparency Center, LSA unit and Meta Ad Library are JavaScript-only and could not be read; web-search budget was exhausted so no Sponsored-result check. Log: checked page source (AW tag present), Meta Ad Library (not readable), Google Ads Transparency (not readable), LSA (not checked).</t>
        </is>
      </c>
      <c r="BL14" s="8" t="inlineStr">
        <is>
          <t>Not checked on ChatGPT, Gemini or Perplexity (Perplexity returned 403; ChatGPT/Gemini not reachable from this session; web-search budget exhausted). D4 scored 0 NO EVIDENCE per rubric. Context only, not scored: a Brave web search for 'best electrician for panel upgrade Kent WA' listed 18 competitors (Rock Electric, ElectON Enterprise, Panel Pros Electric, Skipper &amp; Sons Electric, Surge Electrical, Washington Electric, CBR Electric, Pacific Home Electric, Hunt's Services, Fuller Electric, Fischer Electric...) and did not list Phase NW; a DuckDuckGo result page for 'electrician that answers the phone Kent WA' had 0 hits for phasenw. Site has LocalBusiness-type (Electrician) JSON-LD via Rank Math but no FAQPage schema. Run the real 3x2 spot check before any SEND TODAY promotion.</t>
        </is>
      </c>
      <c r="BM14" s="8" t="inlineStr">
        <is>
          <t>PASS. Chain/franchise: no (independent LLC, 1 location, named owner, not Mr. Electric/Mister Sparky). Website: live own-domain WordPress site, HTTP 200, sitemap updated Jul 2026. Live US business: BBB A+ accredited, Nextdoor page active ('Closed until Wed 7:00 AM'), 2024 recommendations, site content 2026. Inbound channel: phone + Housecall Pro lead form. Not a competitor/non-buyer. Not already automated: no AI receptionist vendor in source; AI-visibility not established. Suppression.csv and seen.csv: no match for 'phase nw'/'phasenw' (grep run). GHL 'E4L Services' dedupe via ghl-contacts.js NOT run (requires credentials; no login rule) - Rozel/Abdullah to run before load. WA SOS and L&amp;I registry status could not be read (JS-only lookups; SOS API returned 'verification in progress') - license PHASENL831KN is cited by Expertise and Nextdoor but status not verified today.</t>
        </is>
      </c>
      <c r="BN14" s="8" t="inlineStr">
        <is>
          <t>D1 Decision-maker: 8/20 - full name + role cited from BBB Business Management 'Eugene L. Brown, Owner' (https://www.bbb.org/us/wa/kent/profile/electrician/phase-nw-llc-1296-1000053919) and site 'Our team, led by owner Gene' (https://www.phasenw.com/); only generic mailboxes published (sales@phasenw.com on Contact page; contact@ in JSON-LD); no owner-personal email, no owner LinkedIn, no owner-direct line -&gt; call-first route. | D2 Phone gap: 15/15 - phone-first header 'Call Us (206) 487-7278'; electrical is on the inherently-urgent list; cited gap: JSON-LD 'Mo,Tu,We,Th,Fr 08:00-16:00' + Nextdoor 'Closed Saturday and Sunday' + ProvenExpert 'Appointments by request only'; no 24/7, answering-service or AI-receptionist mention on site/source/BBB/Nextdoor. | D3 Leak evidence: 5/15 - one weak signal type: negative Yelp reviews exist (Yelp 2.8/5 reviews per Expertise; 2.50/6 per ProvenExpert) but their text and any owner reply could not be read (Yelp 403), so no verbatim reachability quote; booking friction does not fire (Housecall Pro lead form present); job boards and Google reply rate not checkable this session (null logged). SWING DIMENSION - see notes. | D4 AI visibility: 0/10 NO EVIDENCE - no AI platform could be checked (Perplexity 403; ChatGPT/Gemini unreachable); site has Electrician/Organization JSON-LD, no FAQPage, so ceiling would be 6 once checked. | D5 ICP fit: 15/15 - (a) independent, 1 location, named owner, 'family owned and operated' (Nextdoor); (b) electrical = core niche; (c) proxies: since 2017-05-15 (BBB) = 9 yrs; 120 Google reviews (Expertise); 4 named staff/3 employees (BBB, site, Nextdoor); high-ticket services EV/panels/generators (site) vs electrical $400-3k row; 19-city service area (sitemap). | D6 Buying signals: 7/15 - spend groups (d)/(e) only: GTM + GA4 + Google Ads conversion tag AW-11080718517, pulsem review tool, Trustindex, Housecall Pro (homepage source); no paid-media signal confirmable (Ads Transparency/LSA/Meta Library unreadable); no dated trigger within 60 days; site pages updated 2026-07-30 (sitemap) and Nextdoor Fave 2025 are undated/soft. | D7 Attitude: 6/10 - net 2 positives: modern maintained site (WordPress 6.9, sitemap 2026-07) and tech adoption (Housecall Pro, pulsem); growth posture partial (Nextdoor Fave 2025, service-area expansion); owner review-reply behavior and recent owner-voiced social unverifiable; no incumbent agency, no negatives found. | TOTAL 56 -&gt; QUALIFIED band. Evidence on 6 of 7 dimensions, D1 positive, D2 direct hours quote, D5 cited -&gt; TRUSTED except GHL dedupe not run.</t>
        </is>
      </c>
      <c r="BO14" s="8" t="inlineStr">
        <is>
          <t>https://www.phasenw.com/, https://www.bbb.org/us/wa/kent/profile/electrician/phase-nw-llc-1296-1000053919, https://nextdoor.com/pages/phase-nw-llc/, https://www.phasenw.com/contact/, https://www.expertise.com/home-improvement/electricians/washington/renton, https://www.provenexpert.com/phase-nw/, https://www.linkedin.com/company/phase-nw-electricians/, https://www.phasenw.com/sitemap_index.xml, https://www.yelp.com/biz/phase-nw-kent-4, https://maps.app.goo.gl/rHmNvbYxyJS4ehj38, https://about.me/phasenwusa, https://www.facebook.com/people/Phase-NW-Electricians/61561931171405/, https://x.com/PhaseNWElectric, https://book.housecallpro.com/lead-form/Phase-NW-Electricians</t>
        </is>
      </c>
      <c r="BP14" s="8" t="inlineStr">
        <is>
          <t>Medium</t>
        </is>
      </c>
      <c r="BQ14" s="8" t="inlineStr">
        <is>
          <t>1) Route: call-first (Sam) - only generic sales@phasenw.com exists; a Sebastian email to sales@ is fine as the second touch but spends no premium slot. 2) D3 is the swing dimension (56 QUALIFIED vs 51 WATCH): Yelp was blocked (403). A 30-second manual look at https://www.yelp.com/biz/phase-nw-kent-4 settles it - if any of the 5-6 reviews mention calls/response/scheduling, D3 rises to 10; if they are unrelated, keep 56. Never quote a negative review back to Gene. 3) Scout corrections: Meta pixel NOT present in today's page source (there is a Google Ads tag AW-11080718517 instead); the (833) number was not on BBB today; Expertise says owner career 'over eight years' vs site 'over 30 years' - do not cite a years figure in copy. 4) Not done this session (search budget exhausted / sources blocked): ChatGPT/Gemini/Perplexity spot check (run before any SEND TODAY promotion; schema exists so D4 ceiling is 6), job-board sweep, owner LinkedIn X-ray, WA SOS/L&amp;I status read, GHL dedupe (run ghl-contacts.js by domain phasenw.com / phone 2064877278). 5) Demo build is a go: phone-first, D2 = 15, site is clean WordPress and scrapable; have the demo book into Housecall Pro language ready. 6) Niche-playbook attitude fits what we see - technical, pragmatic, no hype; lead with the demo number, not 'AI'.</t>
        </is>
      </c>
      <c r="BR14" s="10" t="inlineStr"/>
      <c r="BS14" s="10" t="inlineStr"/>
      <c r="BT14" s="10" t="inlineStr"/>
    </row>
    <row r="15" ht="120" customHeight="1">
      <c r="A15" s="8" t="inlineStr">
        <is>
          <t>20261013-14</t>
        </is>
      </c>
      <c r="B15" s="8" t="inlineStr">
        <is>
          <t>2026-10-13</t>
        </is>
      </c>
      <c r="C15" s="8" t="n">
        <v>2</v>
      </c>
      <c r="D15" s="10" t="inlineStr"/>
      <c r="E15" s="10" t="inlineStr">
        <is>
          <t>New</t>
        </is>
      </c>
      <c r="F15" s="8" t="n">
        <v>56</v>
      </c>
      <c r="G15" s="8">
        <f>IF(F15="","",IF(F15&gt;=80,"A — send today",IF(F15&gt;=60,"B — worth a touch",IF(F15&gt;=40,"C — hold","D — reject"))))</f>
        <v/>
      </c>
      <c r="H15" s="8" t="inlineStr">
        <is>
          <t>Bastin Roofing</t>
        </is>
      </c>
      <c r="I15" s="8" t="inlineStr">
        <is>
          <t>Kirk</t>
        </is>
      </c>
      <c r="J15" s="8" t="inlineStr">
        <is>
          <t>Bastin</t>
        </is>
      </c>
      <c r="K15" s="8" t="inlineStr">
        <is>
          <t>Chairman &amp; Founder</t>
        </is>
      </c>
      <c r="L15" s="8" t="inlineStr">
        <is>
          <t>Not found (no owner-personal address on any public page; only the generic bastinroofing@gmail.com business mailbox)</t>
        </is>
      </c>
      <c r="M15" s="8" t="inlineStr">
        <is>
          <t>Generic (info@/office@)</t>
        </is>
      </c>
      <c r="N15" s="8" t="inlineStr">
        <is>
          <t>Confirmed</t>
        </is>
      </c>
      <c r="O15" s="8" t="inlineStr">
        <is>
          <t>Not found (only the main line; BBB fax 636-379-0017 is not a contact channel)</t>
        </is>
      </c>
      <c r="P15" s="8" t="inlineStr">
        <is>
          <t>+1 636-556-4721 (site header 'Call or Text', tel: link x10, JSON-LD, BBB; fax +1 636-379-0017 per BBB)</t>
        </is>
      </c>
      <c r="Q15" s="8" t="inlineStr">
        <is>
          <t>Roofing</t>
        </is>
      </c>
      <c r="R15" s="8" t="inlineStr">
        <is>
          <t>core</t>
        </is>
      </c>
      <c r="S15" s="8" t="inlineStr">
        <is>
          <t>O'Fallon</t>
        </is>
      </c>
      <c r="T15" s="8" t="inlineStr">
        <is>
          <t>MO</t>
        </is>
      </c>
      <c r="U15" s="8" t="inlineStr">
        <is>
          <t>Site promises around-the-clock emergency service in writing (FAQ schema included), so the expectation is already set with every homeowner who reads it; Missouri's fall/winter wind-storm calls land on a Sat-12pm/Sun-closed schedule with a sales-hours-only callback. No results promised - this is about catching calls he already advertises for.</t>
        </is>
      </c>
      <c r="V15" s="8" t="inlineStr">
        <is>
          <t>Family-Legacy Pride Brand (medium confidence; secondary: Tech-Forward Early Adopter)</t>
        </is>
      </c>
      <c r="W15" s="8" t="inlineStr">
        <is>
          <t>Voice AI live demo line built from bastinroofing.com (after-hours/overflow emergency intake that books the free inspection) + missed-call text-back. Verify first whether their GHL build already runs missed-call text-back; if yes, position the voice agent as the missing after-hours layer booking into their existing GHL calendar.</t>
        </is>
      </c>
      <c r="X15" s="8" t="inlineStr">
        <is>
          <t>Recover</t>
        </is>
      </c>
      <c r="Y15" s="8" t="inlineStr">
        <is>
          <t>the Saturday-night call at Bastin Roofing</t>
        </is>
      </c>
      <c r="Z15" s="8" t="inlineStr">
        <is>
          <t>Kirk, your site says a storm-opened roof shouldn't wait until Monday, but the only callback option on your form is "from sales, during business hours" and Sunday shows closed.</t>
        </is>
      </c>
      <c r="AA15" s="8" t="inlineStr">
        <is>
          <t>Missed-call / after-hours emergency coverage. Thirty years and a veteran-owned name are the reputation; the gap is who picks up when hail hits St. Charles County at 10 PM Saturday. Offer the demo line trained on his own site: it answers, qualifies (address, leak vs. storm damage, insurance claim), and books the free inspection, then texts back every missed call. Go-live is one conditional call-forwarding rule on missed/busy calls. Do not pitch chat, schema or a new website - he already has a GHL site with FAQ schema.</t>
        </is>
      </c>
      <c r="AB15" s="8" t="inlineStr">
        <is>
          <t>"I already have a marketing company / that GoHighLevel thing handles my leads" and "customers want to talk to a real person." Answer: we only take the calls that already go unanswered after hours or while the crew is on a roof, we plug into the GHL he already has, and he can call the demo number himself before paying anything.</t>
        </is>
      </c>
      <c r="AC15" s="8" t="inlineStr">
        <is>
          <t>"Hi, is this Kirk? Kirk, it's Sam with Eat 4 Life Marketing - full disclosure, this is a cold call, so feel free to hang up on me. I was on bastinroofing.com and it says a storm-opened roof shouldn't wait until Monday, but your form only offers a call back from sales during business hours. So when the phone rings Saturday night after hail, who's picking up - you, voicemail, or nobody? We build a demo line trained on your own site that answers those calls, qualifies the homeowner and books the free inspection, and you can call it before you ever pay a dollar. Can I take 20 seconds to tell you how it works, and you tell me if it's worth a longer look?"</t>
        </is>
      </c>
      <c r="AD15" s="8" t="inlineStr">
        <is>
          <t>Tue-Thu 7:00-7:45 AM CT, right at opening before crews dispatch (trades window; site opens 7 AM and the owner-operator is most likely at the shop then); fallback Tue-Thu 4:00-5:30 PM CT. Avoid Saturday (half day) and never after 8 PM CT.</t>
        </is>
      </c>
      <c r="AE15" s="8" t="inlineStr">
        <is>
          <t>Mon-Fri 7:00 AM-9:00 PM; Sat 7:00 AM-12:00 PM; Sun Closed (site contact page + JSON-LD; GBP hours not verified this session). '24-hour emergency service... outside the hours above.'</t>
        </is>
      </c>
      <c r="AF15" s="8" t="inlineStr">
        <is>
          <t>America/Chicago (Central Time)</t>
        </is>
      </c>
      <c r="AG15" s="8" t="inlineStr">
        <is>
          <t>Not found who answers the main line. Site form has a 'Request A Call Back From Sales (During Business Hours)' option, implying a sales desk returns inquiries; no office manager, dispatcher or CSR named on the site, BBB ('Customer Contacts' not listed) or elsewhere reachable this session. No answering service or AI vendor in page source. Ask for Kirk by name ('is Kirk around this morning?'); if a sales rep answers, ask who handles the phones after hours and when Kirk is in the shop. Number is advertised 'Call or Text' - treat as possibly a cell: manual human dial only, no SMS or automated calls.</t>
        </is>
      </c>
      <c r="AH15" s="8" t="inlineStr">
        <is>
          <t>The site's own promise vs. its own form: homepage says 'When a storm opens up your roof, we don't make you wait until Monday' and contact page says 'Emergency service is available around the clock', while the contact form's only callback option is 'Request A Call Back From Sales (During Business Hours)' and hours show Sat 7-12 / Sun Closed. Sources: https://bastinroofing.com and https://www.bastinroofing.com/contact-us</t>
        </is>
      </c>
      <c r="AI15" s="8" t="inlineStr">
        <is>
          <t>(1) 24/7 claim vs coverage: 'Emergency service is available around the clock' + '24-Hour Emergency Service - When a storm opens up your roof, we don't make you wait until Monday' vs hours 'Saturday 7:00 AM-12:00 PM, Sunday Closed' (https://www.bastinroofing.com/contact-us, https://bastinroofing.com). (2) Form option 'Request A Call Back From Sales (During Business Hours)' - after-hours inquiries wait (page source, contact-us). (3) Contact friction: no online scheduling, no chat/text widget loaded, no response-time promise on the form ('Tell us what's going on with your roof... Your information stays with Bastin Roofing'). (4) BBB: 3 complaints in last 3 years (text not retrievable - do not cite). No review quotes available (GBP/Yelp blocked).</t>
        </is>
      </c>
      <c r="AJ15" s="8" t="inlineStr">
        <is>
          <t>None dated. Site copyright 2026 on a GHL build suggests a recent rebuild but could not be dated (Wayback unreachable). Seasonal: Missouri hail/storm season is spring-summer; October is off-peak. No hiring, press or expansion found (search unavailable).</t>
        </is>
      </c>
      <c r="AK15" s="8" t="inlineStr">
        <is>
          <t>Website: surname on the business, 'Keeping You Dry Since 1995', 'Three Decades in Business', founder letter signed 'Kirk Bastin, Chairman &amp; Founder', 'All Workmanship Guaranteed for 10 Years', veteran-owned badge, discounts for service members/firefighters/seniors (https://bastinroofing.com, https://www.bastinroofing.com/kirks-list). BBB: A+ and 'Accredited since 12/3/2012' (https://www.bbb.org/us/mo/o-fallon/profile/roofing-contractors/bastin-roofing-0734-310468769). Tech-forward secondary: GoHighLevel/LeadConnector site with white-labeled link.bastinroofing.com form_embed.js + reputation review-widget.js, Meta pixel, GTM, RoofingContractor + FAQPage JSON-LD, copyright 2026 (view-source). No review-reply or social evidence obtainable, so confidence stays medium. No hostile/anti-marketing/anti-AI signal observed.</t>
        </is>
      </c>
      <c r="AL15" s="8" t="inlineStr">
        <is>
          <t>Self-stated on site: 'Bastin Roofing is owned and operated by a former member of the U.S. Marine Corps'; 'Veteran Owned / U.S. Marine Corps' badge; roofing 'since 1995' / '30+ Years roofing experience'. No interviews, podcasts or press found (search unavailable).</t>
        </is>
      </c>
      <c r="AM15" s="8" t="inlineStr">
        <is>
          <t>Tone: terse-plain, straight-talk, pride in craft and crew. Verbatim: 'we'll inspect it free and tell you straight what it needs'; 'Nobody gets sold a replacement they didn't need'; 'We install trusted manufacturer systems - not whatever's cheapest on the truck'; 'Committed to Our Customers. Committed to Our Crew.'; discounts for active/retired military, firefighters, seniors; 'Kirk's List' = his vetted products/suppliers ('passed our litmus test on craftsmanship, durability, and affordability'). BBB A+ accredited since 2012 (reputation-conscious). Mirror: short, direct, no hype.</t>
        </is>
      </c>
      <c r="AN15" s="8" t="inlineStr">
        <is>
          <t>Owner-operator</t>
        </is>
      </c>
      <c r="AO15" s="8" t="inlineStr">
        <is>
          <t>Not found (LinkedIn X-ray could not be run: web-search budget exhausted this session; no LinkedIn href on the site)</t>
        </is>
      </c>
      <c r="AP15" s="8" t="inlineStr">
        <is>
          <t>Business: https://twitter.com/@Bastin_Roofing (per BBB; page is JS-rendered, activity not readable). BBB also lists facebook.com/mkbastin - personal-style handle, DO NOT USE. No social icons on the website.</t>
        </is>
      </c>
      <c r="AQ15" s="8" t="inlineStr">
        <is>
          <t>https://bastinroofing.com</t>
        </is>
      </c>
      <c r="AR15" s="8" t="inlineStr">
        <is>
          <t>bastinroofing@gmail.com (free-mail business mailbox; in site JSON-LD and Cloudflare-obfuscated on contact page, decoded from page source)</t>
        </is>
      </c>
      <c r="AS15" s="8" t="inlineStr">
        <is>
          <t>1275 W Terra Ln, O'Fallon, MO 63366 (site footer + JSON-LD)</t>
        </is>
      </c>
      <c r="AT15" s="8" t="inlineStr">
        <is>
          <t>63366</t>
        </is>
      </c>
      <c r="AU15" s="8" t="inlineStr">
        <is>
          <t>O'Fallon, Saint Charles, Chesterfield, Florissant, Wentzville &amp; surrounding Missouri (site JSON-LD areaServed); BBB: 'O Fallon MO and surrounding areas'</t>
        </is>
      </c>
      <c r="AV15" s="8" t="inlineStr">
        <is>
          <t>https://www.google.com/maps/place/Bastin+Roofing/@38.8060418,-90.7357904,17z/data=!4m6!3m5!1s0x87df28956705dae1:0x568ee7d824776930!8m2!3d38.8060418!4d-90.7357904</t>
        </is>
      </c>
      <c r="AW15" s="8" t="inlineStr">
        <is>
          <t>4.9 per bestprosintown.com directory listing surfaced by the scout; GBP not opened directly this session (Maps fetch returned no listing data) - unverified</t>
        </is>
      </c>
      <c r="AX15" s="8" t="inlineStr">
        <is>
          <t>52 per directory listing (unverified); BBB shows 1 BBB customer review and 3 complaints in last 3 years (text not retrievable)</t>
        </is>
      </c>
      <c r="AY15" s="8" t="inlineStr">
        <is>
          <t>CONFLICT: site says 'Since 1995' / 'Three Decades in Business' (JSON-LD foundingDate 1995); BBB schema foundingDate 1991-04-01; BBB Accredited since 12/3/2012. Hypothesis: sole-prop start 1991, LLC/brand date 1995. Use '30 years' safely.</t>
        </is>
      </c>
      <c r="AZ15" s="8" t="inlineStr">
        <is>
          <t>Not found (BBB lists no employee count; site says 'OSHA-Certified, Trained Crews' and 'Committed to Our Crew' without numbers; LinkedIn not reachable this session)</t>
        </is>
      </c>
      <c r="BA15" s="8" t="inlineStr">
        <is>
          <t>1 physical location (O'Fallon). OpenCorporates also shows an Illinois branch registration for BASTIN ROOFING, LLC (LLC_06237754) - a registration, not a second office on the site.</t>
        </is>
      </c>
      <c r="BB15" s="8" t="inlineStr">
        <is>
          <t>Roof replacement, roof repair, siding/soffit/fascia, gutters &amp; downspouts, skylight installation, insurance (storm/hail) claims, financing; residential + commercial; Owens Corning installer; TAMKO, Mastic/Variform/Hartland siding; 10-year workmanship guarantee</t>
        </is>
      </c>
      <c r="BC15" s="8" t="inlineStr">
        <is>
          <t>advanced (FAQPage + RoofingContractor schema, GHL forms and review widget, Meta pixel, GTM, financing page; but no online booking, no loaded chat/text widget, no sms: link)</t>
        </is>
      </c>
      <c r="BD15" s="8" t="inlineStr">
        <is>
          <t>agency_managed (site built on GoHighLevel/LeadConnector with white-label subdomain link.bastinroofing.com, Meta pixel + GTM; no agency credit in footer; agency name unknown)</t>
        </is>
      </c>
      <c r="BE15" s="8" t="inlineStr">
        <is>
          <t>established (30 years, BBB accredited 2012, ~52 reviews per directory; review velocity and hiring unknown)</t>
        </is>
      </c>
      <c r="BF15" s="8" t="inlineStr">
        <is>
          <t>unknown (GBP and Yelp could not be opened this session; BBB shows 1 review, no text)</t>
        </is>
      </c>
      <c r="BG15" s="8" t="inlineStr">
        <is>
          <t>claims_24_7 vs hours_only gap. Site: 'Emergency service is available around the clock' and '24-hour emergency service is available for extreme weather events, outside the hours above.' Posted hours: Mon-Fri 7:00 AM-9:00 PM, Sat 7:00 AM-12:00 PM, Sun Closed. Contact form callback option: 'Request A Call Back From Sales (During Business Hours)'. No statement of who answers after hours; no answering-service, call-center or AI-receptionist vendor in page source.</t>
        </is>
      </c>
      <c r="BH15" s="8" t="inlineStr">
        <is>
          <t>No. 'Request Online' / 'Request a Free Estimate' buttons lead to a GHL contact form (link.bastinroofing.com/js/form_embed.js); no scheduler (no calendly/housecall/jobber/servicetitan/acculynx scripts).</t>
        </is>
      </c>
      <c r="BI15" s="8" t="inlineStr">
        <is>
          <t>No live chat loaded (only a CSS comment '/* GHL chat widget clearance */'; no widgets.leadconnectorhq chat script in source). 'Call or Text (636) 556-4721' is a plain tel: link; no sms: link.</t>
        </is>
      </c>
      <c r="BJ15" s="8" t="inlineStr">
        <is>
          <t>GoHighLevel/LeadConnector (stcdn.leadconnectorhq.com/_preview/DElPdBin.js; link.bastinroofing.com form_embed.js + reputation/review-widget.js; images on leadconnectorhq/filesafe CDNs), Meta pixel (fbq x2), Google Tag Manager, Cloudflare (email obfuscation). Financing page names no lender. No CallRail/CTM, no chat vendor, no AI phone vendor.</t>
        </is>
      </c>
      <c r="BK15" s="8" t="inlineStr">
        <is>
          <t>not checked (Meta Ad Library and Google Ads Transparency Center are JS-only and web search was unavailable this session). Tracking present: Meta pixel + GTM in source suggests paid-social measurement.</t>
        </is>
      </c>
      <c r="BL15" s="8" t="inlineStr">
        <is>
          <t>not checked - web-search budget exhausted and Perplexity fetch returned 403; D4 scored 0 / NO EVIDENCE. Note: site already carries FAQPage + RoofingContractor JSON-LD, so the AI-readable-site pitch is weaker; a GEO audit would need to be run before any 'Named in X of Y' claim.</t>
        </is>
      </c>
      <c r="BM15" s="8" t="inlineStr">
        <is>
          <t>PASS - independent single-location Missouri LLC (BASTIN ROOFING, LLC, Active, OpenCorporates LC0753608; no franchise/PE language); working own-domain site (HTTP 200, copyright 2026); live US business with phone + form; roofing contractor (not competitor/supplier); no competing AI phone agent in source; not in suppression.csv or seen.csv (grep 'bastin' = no match); no 'no solicitation' notice found. Caveat: GHL sub-account dedupe not run here.</t>
        </is>
      </c>
      <c r="BN15" s="8" t="inlineStr">
        <is>
          <t>D1 Decision-maker reach: 8/20 - Kirk Bastin, Chairman &amp; Founder (site) + Owner (BBB) cited from two sources, but only a generic free-mail mailbox (bastinroofing@gmail.com); no personal email, direct line or LinkedIn -&gt; call-first route. | D2 Phone gap: 15/15 - phone-first (tel: in header x10, 'Call Now', 'Call or Text', 'Emergency? Call') AND cited gap: 'Emergency service is available around the clock' vs 'Saturday 7:00 AM-12:00 PM, Sunday Closed', form option 'Request A Call Back From Sales (During Business Hours)', no answering-service/AI vendor in source; roofing is inherently urgent. | D3 Lead-response leak: 5/15 - exactly 1 signal type (booking/contact friction: no scheduler, no chat/text widget, no form response promise, verified in source); reviews, hiring, Yelp and reply rate could not be checked (Yelp/Indeed/Maps 403, search unavailable). | D4 AI visibility: 0/10 NO EVIDENCE - no platform could be checked; FAQPage + RoofingContractor schema present. | D5 ICP fit: 15/15 - independent MO LLC (OpenCorporates LC0753608 Active), named owner, veteran-owned, core niche; proxies: since 1995/BBB 1991/accredited 2012, roofing ticket $8-15k + financing offered, 5-city service area + 24-hour emergency claim. | D6 Buying signals: 7/15 - only group (d): Meta pixel + GTM + GHL platform in source; no dated trigger; (a) Google Ads, (b) LSA, (c) Meta Ad Library, (e) paid directories NOT CHECKED this session. | D7 Attitude/stack: 6/10 - positives: modern site (copyright 2026, SSL), tech adoption (financing, GHL review widget, schema); no negatives; incumbent GHL stack = possible agency conflict (unnamed), so capped at 6. | TOTAL 56 -&gt; QUALIFIED. Evidence on 6 of 7 dimensions; D1 positive, D2 direct, D5 cited -&gt; TRUSTED except: GHL 'E4L Services' dedupe (ghl-contacts.js) not run in this session - suppression.csv and seen.csv checked clean.</t>
        </is>
      </c>
      <c r="BO15" s="8" t="inlineStr">
        <is>
          <t>https://www.bastinroofing.com/contact-us, https://bastinroofing.com, https://www.bbb.org/us/mo/o-fallon/profile/roofing-contractors/bastin-roofing-0734-310468769, https://opencorporates.com/companies/us_mo/LC0753608, https://www.bastinroofing.com/kirks-list, https://www.bastinroofing.com/testimonials, https://www.bastinroofing.com/financing, https://www.google.com/maps/place/Bastin+Roofing/@38.8060418,-90.7357904,17z/data=!4m6!3m5!1s0x87df28956705dae1:0x568ee7d824776930!8m2!3d38.8060418!4d-90.7357904, https://www.bestprosintown.com/mo/ofallon/roofing/, https://twitter.com/@Bastin_Roofing</t>
        </is>
      </c>
      <c r="BP15" s="8" t="inlineStr">
        <is>
          <t>Medium</t>
        </is>
      </c>
      <c r="BQ15" s="8" t="inlineStr">
        <is>
          <t>Title detail: Chairman &amp; Founder (site 'A Message From Our Founder', signed 'Kirk Bastin / Chairman &amp; Founder'); 'Owner' (BBB principal: givenName Kirk, familyName Bastin, jobTitle Owner). Legal entity note: legal: BASTIN ROOFING, LLC. 1) Email route is weak: only bastinroofing@gmail.com (free-mail, generic) - send a short plain-text note to it addressed to Kirk, but Sam's call is the primary channel. 2) Incumbent GHL agency is real (white-labeled link.bastinroofing.com; review widget + pixel + GTM); before pitching text-back, have Abdullah check whether their GHL already fires missed-call text-back; lead with the voice demo either way. 3) Not checked this session (search budget/403s): GBP reviews and reply behavior, Yelp, Indeed hiring, Meta Ad Library, Google Ads/LSA, LinkedIn, AI spot-check - run the GEO audit before any 'Named in X of Y' line; site already has FAQ schema so do not pitch AI-readable rebuild. 4) Founding-year conflict (site 1995 vs BBB 1991): say '30 years', not a specific anniversary. 5) BBB shows 3 complaints in 3 years - text unknown, never reference. 6) Do not use facebook.com/mkbastin (personal-style). 7) GHL E4L Services dedupe (ghl-contacts.js) still needs to run before load. 8) Voice: terse, direct, respect the Marine/veteran framing without flattery; no hype words.</t>
        </is>
      </c>
      <c r="BR15" s="10" t="inlineStr"/>
      <c r="BS15" s="10" t="inlineStr"/>
      <c r="BT15" s="10" t="inlineStr"/>
    </row>
    <row r="16" ht="120" customHeight="1">
      <c r="A16" s="8" t="inlineStr">
        <is>
          <t>20261013-15</t>
        </is>
      </c>
      <c r="B16" s="8" t="inlineStr">
        <is>
          <t>2026-10-13</t>
        </is>
      </c>
      <c r="C16" s="8" t="n">
        <v>2</v>
      </c>
      <c r="D16" s="10" t="inlineStr"/>
      <c r="E16" s="10" t="inlineStr">
        <is>
          <t>New</t>
        </is>
      </c>
      <c r="F16" s="8" t="n">
        <v>55</v>
      </c>
      <c r="G16" s="8">
        <f>IF(F16="","",IF(F16&gt;=80,"A — send today",IF(F16&gt;=60,"B — worth a touch",IF(F16&gt;=40,"C — hold","D — reject"))))</f>
        <v/>
      </c>
      <c r="H16" s="8" t="inlineStr">
        <is>
          <t>Griffith Heating and Cooling, Inc.</t>
        </is>
      </c>
      <c r="I16" s="8" t="inlineStr">
        <is>
          <t>Kevin</t>
        </is>
      </c>
      <c r="J16" s="8" t="inlineStr">
        <is>
          <t>Griffith</t>
        </is>
      </c>
      <c r="K16" s="8" t="inlineStr">
        <is>
          <t>President</t>
        </is>
      </c>
      <c r="L16" s="8" t="inlineStr">
        <is>
          <t>kgriffith@griffithhvac.com</t>
        </is>
      </c>
      <c r="M16" s="8" t="inlineStr">
        <is>
          <t>Personal (named)</t>
        </is>
      </c>
      <c r="N16" s="8" t="inlineStr">
        <is>
          <t>Confirmed</t>
        </is>
      </c>
      <c r="O16" s="8" t="inlineStr">
        <is>
          <t>Not found as a separate number. Contact page: 'Contact Kevin at (804) 744-0850 or email at kgriffith@griffithhvac.com' (main line, no extension). Others have extensions: Jamie Madures GM Ext. 108, Angela Griffith HR Ext. 102.</t>
        </is>
      </c>
      <c r="P16" s="8" t="inlineStr">
        <is>
          <t>+1 804-744-0850 (main line, site header/footer + BBB; fax +1 804-744-0851 per BBB)</t>
        </is>
      </c>
      <c r="Q16" s="8" t="inlineStr">
        <is>
          <t>HVAC</t>
        </is>
      </c>
      <c r="R16" s="8" t="inlineStr">
        <is>
          <t>core</t>
        </is>
      </c>
      <c r="S16" s="8" t="inlineStr">
        <is>
          <t>Midlothian</t>
        </is>
      </c>
      <c r="T16" s="8" t="inlineStr">
        <is>
          <t>VA</t>
        </is>
      </c>
      <c r="U16" s="8" t="inlineStr">
        <is>
          <t>Richmond heating season is opening (mid-October): the first cold nights are when 'no heat' calls land after 4:30 PM and on weekends, exactly the window where Griffith's own pages disagree about coverage (Contact page 'Sat - Sun Open 24 Hours' vs. homepage 'five days a week' vs. directory 'Closed'). The site is also actively 'seeking employees', so every missed call lands on an already-stretched crew. Q4 is when Griffith Gives Back nominations run, which gives a warm, non-salesy reason to be in touch.</t>
        </is>
      </c>
      <c r="V16" s="8" t="inlineStr">
        <is>
          <t>Growth-Minded Operator (medium confidence); secondary: Family-Legacy Pride Brand</t>
        </is>
      </c>
      <c r="W16" s="8" t="inlineStr">
        <is>
          <t>Voice AI live demo built from griffithhvac.com (after-hours / overflow layer that answers the first ring, qualifies no-heat vs. routine, pages the on-call tech only for true emergencies, books everything else for 7:30 AM); pair with missed-call text-back. Seasonal urgency angle (heating season). GEO audit as the second touch once the spot-check is run.</t>
        </is>
      </c>
      <c r="X16" s="8" t="inlineStr">
        <is>
          <t>Recover</t>
        </is>
      </c>
      <c r="Y16" s="8" t="inlineStr">
        <is>
          <t>who picks up at Griffith after 4:30, Kevin?</t>
        </is>
      </c>
      <c r="Z16" s="8" t="inlineStr">
        <is>
          <t>Your header promises 24-hour emergency service and your own homepage says the office runs 7:30 to 5, five days a week — so I'm curious who picks up the Chesterfield no-heat call at 9 on a Saturday night.</t>
        </is>
      </c>
      <c r="AA16" s="8" t="inlineStr">
        <is>
          <t>Missed-call / after-hours coverage, in their own words. Griffith is phone-first (every CTA is the main line, no scheduler), sells '24/7 EMERGENCY SERVICE' and a '$21 a Month' maintenance plan, and is hiring. The on-call tech is the pitch, not the enemy: 'when the on-call guy is under a house or asleep, the first ring still gets answered, the caller gets qualified, true emergencies get paged to him, and the rest are booked for 7:30.' Proof lever: a demo line trained on griffithhvac.com they can call before paying. Do not lead with 'AI'; lead with the Saturday-night furnace call and the maintenance-plan renewals that currently depend on a phone call.</t>
        </is>
      </c>
      <c r="AB16" s="8" t="inlineStr">
        <is>
          <t>'We already have someone on-call 24/7' (their FAQ says so) and 'we have Podium for texts.' Answer: the on-call tech cannot answer while on a job or at 2 AM, and Podium catches texts and web chat, not the voice call a homeowner with no heat actually makes; the AI sits in front of the on-call line, pages him only for real emergencies, and books the rest. Secondary: 'our office manager handles the phones' — position as after-hours and overflow only, never replacing Amanda.</t>
        </is>
      </c>
      <c r="AC16" s="8" t="inlineStr">
        <is>
          <t>Hi Kevin, this is Sam with Eat 4 Life Marketing — full disclosure, this is a cold call, so you're welcome to hang up on me. I was on griffithhvac.com this morning: your header says 24-hour emergency service, and your homepage says the office runs 7:30 to 5, five days a week. So who actually picks up when a furnace dies in Chesterfield at 9 on a Saturday night — the on-call tech's cell, or voicemail? Reason I'm asking: we build a receptionist trained on your own website that answers that first ring, figures out if it's a real emergency, pages your on-call guy only when it is, and books the rest for 7:30. You can call the demo line before you ever pay a dollar. Can I take 20 seconds to tell you how it works?</t>
        </is>
      </c>
      <c r="AD16" s="8" t="inlineStr">
        <is>
          <t>Tue-Thu 7:30-8:15 AM ET, right when the office opens and before techs dispatch (site says the office opens 7:30; the Contact page lists Kevin on the main line, so the first calls of the day are the best shot at catching him before the GM/dispatch rhythm starts). Second window: Tue-Thu 3:45-4:30 PM ET, before the Contact page's 4:30 close. Avoid Mondays (post-weekend on-call backlog) and the first cold snap week when no-heat calls spike.</t>
        </is>
      </c>
      <c r="AE16" s="8" t="inlineStr">
        <is>
          <t>Conflicting across sources (flag for Sam): Homepage: 'open five days a week from 7:30am to 5pm with a same day service guarantee, complimented by a 24 hour emergency service'. Contact page: 'Mon - Fri 7:30 am - 4:30 pm / Sat - Sun Open 24 Hours' + '24 Hour On-Call Service'. Directory (Google mirror): Mon-Fri 7:30 AM-5:00 PM, Saturday Closed, Sunday Closed. Office line is reliably staffed Mon-Fri 7:30 AM-4:30 PM.</t>
        </is>
      </c>
      <c r="AF16" s="8" t="inlineStr">
        <is>
          <t>America/New_York (Eastern)</t>
        </is>
      </c>
      <c r="AG16" s="8" t="inlineStr">
        <is>
          <t>Main line (804) 744-0850 is most likely answered by Amanda Madures, Office Manager (Contact page: 'AMANDA MADURES - OFFICE MANAGER Contact Amanda at (804) 744-0850'). Ask for Kevin by name ('is Kevin Griffith in this morning?'). If Kevin is out, Jamie Madures, General Manager, is the published second decision-maker with a direct extension: '(804) 744-0850 Ext. 108' — a GM-forwardable demo is a fine fallback. Other published staff: Jacob Newton, Sales Manager; Blake Piland, Install Manager; Angela Griffith, Human Resources, Ext. 102; Bobby Quinn, Comfort Consultant (FAQ page). No answering service named; after-hours the FAQ says a tech is 'on-call' — Sam should not test-dial after hours unless Chosen authorizes the probe. No 'no solicitation' notice found on the site.</t>
        </is>
      </c>
      <c r="AH16" s="8" t="inlineStr">
        <is>
          <t>The hours contradiction on their own site: header '24/7 EMERGENCY SERVICE' + Contact page 'Sat - Sun Open 24 Hours' vs. homepage 'open five days a week from 7:30am to 5pm' (https://www.griffithhvac.com/ and /contact). It is specific, public, current, neutral and takes Rozel 30 seconds to verify. Runner-up: 'Griffith Gives Back' (free installed heat pump for a nominated first responder/teacher/veteran, since 2021) as a warm, non-salesy compliment in the second line.</t>
        </is>
      </c>
      <c r="AI16" s="8" t="inlineStr">
        <is>
          <t>(1) Coverage promise vs staffed hours: header '24/7 EMERGENCY SERVICE' and FAQ 'we always have someone standing "on-call"' vs homepage 'open five days a week from 7:30am to 5pm' and directory 'Saturday Closed / Sunday Closed' — https://www.griffithhvac.com/, /faqs, dispatchcore listing. (2) Hours contradict each other on the site itself: Contact page 'Mon - Fri 7:30 am - 4:30 pm / Sat - Sun Open 24 Hours' — https://www.griffithhvac.com/contact. (3) Phone-only intake: no scheduler; contact form promises only 'We will get back to you as soon as possible'. (4) Capacity pressure: 'JOBS Griffith is seeking employees' (roles unverified; Indeed returned 401). (5) Recurring revenue to protect: '$21 a Month Annual Service Plan' / Preventative Maintenance Agreement, renewals handled by phone ('Call (804) 744-0850 and sign up'). No verbatim review complaints could be read this run (Google/Yelp/Facebook inaccessible) — do not claim review-based missed-call pain until checked.</t>
        </is>
      </c>
      <c r="AJ16" s="8" t="inlineStr">
        <is>
          <t>Seasonal (inferred, not business-specific): mid-October, Richmond heating season opening; first no-heat nights drive after-hours calls. Business-specific: site hiring banner 'Griffith is seeking employees' (undated); Griffith Gives Back runs 'during the holiday season' (program since 2021) — nomination form on site, a natural Q4 conversation hook. No dated trigger within 60 days found (press, new location, redesign, review spike all unchecked or absent).</t>
        </is>
      </c>
      <c r="AK16" s="8" t="inlineStr">
        <is>
          <t>(1) Site hiring banner: 'JOBS Griffith is seeking employees. To learn about job opportunities' linking to Indeed — https://www.griffithhvac.com/ (2) Review-request/messaging tooling: Podium widget in page source (connect.podium.com/widget.js) and 'View Our Google Reviews' g.page link — https://www.griffithhvac.com/ (3) Invests in conversion tools: Synchrony + Wells Fargo 60-month financing, PayTrace 'PAY ONLINE', '$21 a Month Annual Service Plan' — https://www.griffithhvac.com/financing, /offers (4) Current site (© 2026, SSL, blog post Jan 2024) and manufacturer tiers (Mitsubishi Diamond, American Standard Customer Care, Ruud Pro) — BBB profile (5) Reputation/legacy cues: surname brand 'since 2002', BBB accredited since 2005, 722 reviews at 4.8, Griffith Gives Back since 2021 — https://www.griffithhvac.com/griffith-giveback. Sources span website + BBB + directory = 2+ categories, 5 signals; no contradicting signal observed. Not Tech-Forward (no online booking, no schema, no text-us wording beyond Podium). Not Old-School (robots.txt 'Content-Signal: search=yes, ai-input=yes, ai-train=yes'; current site).</t>
        </is>
      </c>
      <c r="AL16" s="8" t="inlineStr">
        <is>
          <t>Not found beyond the business itself. Public facts only: President of a 'locally owned and operated' HVAC contractor 'since 2002' (site), BBB-accredited since 2005 with A+ rating and 0 complaints in 3 years; company is an American Standard Customer Care dealer, Mitsubishi Diamond dealer and Ruud Pro partner (BBB); runs 'Griffith Gives Back' (free installed American Standard heat pump for a nominated first responder / teacher / military member, 'we started this program in 2021'; 2021 winner a local school teacher, 2022 winner an Army veteran). No interview, podcast, press or bio page found. No prior career or military service published.</t>
        </is>
      </c>
      <c r="AM16" s="8" t="inlineStr">
        <is>
          <t>Tone label: professional, reputation-conscious, community-minded (OBSERVED). Voice lines from the site: tagline 'Comfort You Can Count On.'; 'Griffith Heating and Cooling is proud to be a contributing member of the local communities we are grateful to serve.'; FAQ: 'we always have someone standing "on-call" for our customers.'; 'Griffith Heating and Cooling maintains a high quality standard when hiring employees. Our technicians are NATE certified'. Bragging points: 24-hour service, NATE/factory-trained techs, dealer tiers, A+ BBB, free estimates and load calculations, 60-month financing. Operationally delegates: a GM, Office Manager, Sales Manager and Install Manager are all publicly named with direct mailboxes, which suggests a structured shop that will want to know how the AI hands off to the on-call tech. Review-reply voice: unknown (Google reviews not readable this run).</t>
        </is>
      </c>
      <c r="AN16" s="8" t="inlineStr">
        <is>
          <t>Owner-operator</t>
        </is>
      </c>
      <c r="AO16" s="8" t="inlineStr">
        <is>
          <t>Not found (web search budget exhausted this run; guessed company-page URL returned 404). Re-run: site:linkedin.com/in "Kevin Griffith" "Griffith Heating".</t>
        </is>
      </c>
      <c r="AP16" s="8" t="inlineStr">
        <is>
          <t>Owner-personal: Not found. Company (linked from site footer and BBB): Facebook https://www.facebook.com/GriffithHVAC/ (login wall, not readable), Instagram https://www.instagram.com/griffithhvac/ (429, not readable), YouTube https://www.youtube.com/channel/UCAj9iSJDQmBE99WcR0CwPjg (channel exists, content not readable)</t>
        </is>
      </c>
      <c r="AQ16" s="8" t="inlineStr">
        <is>
          <t>https://www.griffithhvac.com</t>
        </is>
      </c>
      <c r="AR16" s="8" t="inlineStr">
        <is>
          <t>service@griffithhvac.com (site header/contact page)</t>
        </is>
      </c>
      <c r="AS16" s="8" t="inlineStr">
        <is>
          <t>12601 Wilfong Drive, Midlothian, VA 23112 (site footer + BBB: 12601 Wilfong Dr, Midlothian, VA 23112-3972)</t>
        </is>
      </c>
      <c r="AT16" s="8" t="inlineStr">
        <is>
          <t>23112</t>
        </is>
      </c>
      <c r="AU16" s="8" t="inlineStr">
        <is>
          <t>'Richmond VA, Chesterfield VA, and the Petersburg Tri City areas' (About page); 'Richmond VA and surrounding counties' (homepage); BBB: Richmond metro area</t>
        </is>
      </c>
      <c r="AV16" s="8" t="inlineStr">
        <is>
          <t>https://www.google.com/maps/place/?q=place_id:ChIJyxtJkUtysYkRJ4E0iVWtSZw (place ID taken from the site's own g.page review link redirect; Maps page itself could not be rendered this run)</t>
        </is>
      </c>
      <c r="AW16" s="8" t="inlineStr">
        <is>
          <t>4.8 (dispatchcore.io directory mirror of the Google listing; GBP not directly readable this run)</t>
        </is>
      </c>
      <c r="AX16" s="8" t="inlineStr">
        <is>
          <t>722 (dispatchcore.io directory, 'This listing has not been claimed yet'); BBB: 0 customer reviews, 0 complaints in 3 years</t>
        </is>
      </c>
      <c r="AY16" s="8" t="inlineStr">
        <is>
          <t>Site: 'locally owned and operated ... since 2002'; BBB Business Started 2004-07-01, Accredited Since 2005-06-01 (within 2 yrs = CONFIRMED circa 2002-2004, ~22-24 years)</t>
        </is>
      </c>
      <c r="AZ16" s="8" t="inlineStr">
        <is>
          <t>Not published (BBB 'Number of Employees' not listed; LinkedIn company page not found). Observable: 7 named office/management staff on the site (President, General Manager, Sales Manager, Install Manager, HR, Office Manager, Comfort Consultant) plus NATE-certified technicians and installers; 722 Google reviews and a 3-county service area imply a multi-crew shop. Fits the playbook 5-40 employee sweet spot but headcount is unverified.</t>
        </is>
      </c>
      <c r="BA16" s="8" t="inlineStr">
        <is>
          <t>1 (single Midlothian office on site, BBB and directory; no locations page, no franchise language)</t>
        </is>
      </c>
      <c r="BB16" s="8" t="inlineStr">
        <is>
          <t>Residential + commercial HVAC repair, service, installation (replacement and new construction), heat pumps, furnaces, boilers, ductless mini-splits, ductwork, indoor air quality / Air Scrubber, allergy-free duct cleaning, smart thermostats, Preventative Maintenance Agreement ('$21 a Month Annual Service Plan'), free estimates and free load calculations, 60-month financing (Synchrony, Wells Fargo). Dealer badges: American Standard Customer Care dealer, Mitsubishi Diamond dealer, Ruud Pro partner (BBB); brand pages for Trane, Lennox, Carrier, York, Goodman, Rheem, Rinnai, Aprilaire, Bryant</t>
        </is>
      </c>
      <c r="BC16" s="8" t="inlineStr">
        <is>
          <t>modern — Podium web chat/text widget, PayTrace online payments, consumer financing links, Google Tag Manager/gtag; no online scheduler, no call tracking, no Meta pixel, no JSON-LD schema; site built on a DIY/local-designer stack ('Website by RedoSites')</t>
        </is>
      </c>
      <c r="BD16" s="8" t="inlineStr">
        <is>
          <t>diy — local one-person designer credit (RedoSites), no agency, no detectable ads or call tracking, unfilled template text left on the Offers page ('Slide title', 'Write your caption here'), blog last dated Jan 22 2024</t>
        </is>
      </c>
      <c r="BE16" s="8" t="inlineStr">
        <is>
          <t>established — 22+ years, 722 reviews, named management layer (GM, Office Manager, Sales Manager, Install Manager, HR), currently 'seeking employees'</t>
        </is>
      </c>
      <c r="BF16" s="8" t="inlineStr">
        <is>
          <t>unknown — Google reviews, Yelp (403) and Facebook (login wall) could not be read this run; BBB shows 0 reviews / 0 complaints. Read the 20 newest Google reviews before the first send.</t>
        </is>
      </c>
      <c r="BG16" s="8" t="inlineStr">
        <is>
          <t>claims_24_7 via on-call tech, mechanism unconfirmed. Header: '24/7 EMERGENCY SERVICE' / '24 Hour Emergency Service'; FAQ: 'Griffith Heating &amp; Cooling, Inc offers 24 hours a day, 365 days a year service. Call us at (804) 744-0850 as we always have someone standing "on-call" for our customers.'; Contact page: '24 Hour On-Call Service', 'Sat - Sun Open 24 Hours'. Versus homepage 'open five days a week from 7:30am to 5pm' and directory 'Saturday Closed, Sunday Closed'. No answering service, call center or AI receptionist named anywhere in site copy or page source. Who physically answers at 9 PM Saturday (tech cell, forwarded line, voicemail) is not published — Sam's first question.</t>
        </is>
      </c>
      <c r="BH16" s="8" t="inlineStr">
        <is>
          <t>None. Every CTA is 'Call Us: 804-744-0850' / 'CALL (804) 744-0850'; the only non-phone actions are a 5-field contact form ('We will get back to you as soon as possible', no turnaround) and PayTrace 'Pay Online'. No ServiceTitan/Housecall Pro/Jobber/Calendly scripts in page source.</t>
        </is>
      </c>
      <c r="BI16" s="8" t="inlineStr">
        <is>
          <t>Yes — Podium widget (connect.podium.com/widget.js, org token present in homepage source). Text/web-chat capture exists; no voice coverage.</t>
        </is>
      </c>
      <c r="BJ16" s="8" t="inlineStr">
        <is>
          <t>Podium (chat/text/reviews), Google Tag Manager + gtag, PayTrace (online payments), Synchrony Financial + Wells Fargo (financing), RedoSites (local web designer), Indeed (hiring link). Not detected: fbq/Meta pixel, CallRail/CTM call tracking, any booking widget, any JSON-LD schema, any answering-service or AI-voice vendor.</t>
        </is>
      </c>
      <c r="BK16" s="8" t="inlineStr">
        <is>
          <t>Not verified. Meta Ad Library returned 403 and Google Ads Transparency Center rendered as a JS shell (checked 2026-10-14); no Meta pixel, no call-tracking script and no gclid/UTM landing pages in site source; Google LSA badge not checked (search unavailable). Treat as 'no paid-media evidence found', not as 'no ads'.</t>
        </is>
      </c>
      <c r="BL16" s="8" t="inlineStr">
        <is>
          <t>not checked (web search budget exhausted this run; ChatGPT/Perplexity/Gemini could not be queried). Schema check done: 0 'application/ld+json' blocks on the homepage, no FAQPage/LocalBusiness markup; robots.txt explicitly allows AI: 'Content-Signal: search=yes, ai-input=yes, ai-train=yes'. Run the 3-question x 2-platform spot-check ('emergency furnace repair near Midlothian, VA', 'HVAC company that answers the phone Chesterfield, VA', 'best-reviewed heating and cooling near Richmond, VA') before promoting to SEND TODAY.</t>
        </is>
      </c>
      <c r="BM16" s="8" t="inlineStr">
        <is>
          <t>PASS. Chain/franchise: no franchise language, single location, independent surname brand, no parent/PE/'part of' language on site or BBB. Website: live, own domain, SSL, © 2026. Live US business: BBB active A+ accredited, address + phone on site, blog dated 2024, 722 reviews. Inbound channel: main phone + contact form + Podium chat. Category: residential + commercial HVAC contractor (not supply yard, not new-construction-only). Already automated: no AI receptionist or answering service named anywhere; schema absent. Suppression/seen: no match on 'griffith' (only an unrelated chiropractor, Dr. Lisa Griffith) or 'griffithhvac'; 'Midlothian' hit is a Texas roofer. GHL sub-account dedupe NOT run from this session — flag for the loader.</t>
        </is>
      </c>
      <c r="BN16" s="8" t="inlineStr">
        <is>
          <t>D1 Decision-maker reachable: 14/20 — Kevin Griffith, President, cited on two independent sources (own Contact page 'KEVIN GRIFFITH - PRESIDENT Contact Kevin at (804) 744-0850 or email at kgriffith@griffithhvac.com' + BBB principal 'Mr. Kevin Griffith, President'); direct named email on the company domain on a business-controlled page, MX present (emailservice.io/.cc/.co) = CONFIRMED. Not 20 because no secondary channel (no owner LinkedIn, no second phone) was found. | D2 Phone coverage gap: 9/15 — phone-first (header 'Call Us', all CTAs call, no scheduler) and 24-hour claims, but the FAQ names an on-call arrangement ('we always have someone standing on-call') whose answering mechanism is unconfirmed; hours gap is cited only via a third-party mirror (Sat/Sun Closed) and the site's own hours conflict. Upgrade to 15 if GBP directly shows weekend 'Closed' or Sam's after-hours dial hits voicemail. | D3 Lead-response leak: 0/15 NO EVIDENCE — Google reviews, Yelp (403), Facebook (login wall) and Indeed (401) unreadable this run; checked: BBB 0 complaints/0 reviews; page source shows Podium chat (so booking-friction signal does not fire); hiring banner is generic. | D4 AI search gap: 0/10 NO EVIDENCE — spot-check not run (search budget exhausted); note no JSON-LD on site. | D5 ICP fit / ability to pay: 15/15 — (a) 'locally owned and operated', surname brand, single location, named President; (b) HVAC core niche; (c) proxies: since 2002 / BBB started 2004, 722 reviews at 4.8, 7 named managers/staff, HVAC install ticket + Synchrony/Wells Fargo 60-month financing, 3-area service territory, 24/7 claim, dealer tiers. | D6 Timing + spend: 7/15 — spend group (e) Podium and partial (d) GTM only; no pixel/call tracking; Meta Ad Library (403) and Google Ads Transparency (JS shell) unreadable; no dated trigger; seasonal window inferred only. | D7 Attitude / stack: 10/10 — net 3+ positives (© 2026 modern site; tech adoption via Podium, PayTrace, financing; growth/community posture via hiring banner, Griffith Gives Back, dealer tiers); no negatives observed; RedoSites local designer, no bundled-agency conflict; robots.txt AI-permissive. | TOTAL 55/100 = QUALIFIED. TRUSTED status: 5 of 7 dimensions carry evidence (D1, D2, D5, D6, D7), D1 positive, D2 direct hours quotes, D5 evidenced — BUT GHL 'E4L Services' dedupe (ghl-contacts.js) was not run from this session and must be done before load. Not SEND TODAY: only 5 evidenced dimensions and D4 spot-check not run. Minimum-evidence rule applied: D3 and D4 scored 0 rather than estimated from the niche.</t>
        </is>
      </c>
      <c r="BO16" s="8" t="inlineStr">
        <is>
          <t>https://www.griffithhvac.com/contact, https://www.griffithhvac.com/, https://www.griffithhvac.com/faqs, https://www.bbb.org/us/va/midlothian/profile/heating-and-air-conditioning/griffith-heating-and-cooling-inc-0603-21015687, https://www.dispatchcore.io/directory/hvac/midlothian-va/griffith-heating-and-cooling-inc, https://www.griffithhvac.com/about-us, https://www.griffithhvac.com/griffith-giveback, https://www.griffithhvac.com/offers, https://www.griffithhvac.com/financing, https://www.griffithhvac.com/hvac-repair-richmond-va, https://www.griffithhvac.com/services-view/whats-included-in-your-maintenance-agreement, https://www.griffithhvac.com/heat-pumps-in-extreme-cold-climates-busting-myths-and-misconceptions, https://www.griffithhvac.com/robots.txt, https://www.griffithhvac.com/sitemap.xml, https://www.indeed.com/cmp/Griffith-Heating-&amp;-Cooling,-Inc/jobs (401, unverified), https://www.facebook.com/GriffithHVAC/ (login wall), https://www.instagram.com/griffithhvac/ (429), https://www.youtube.com/channel/UCAj9iSJDQmBE99WcR0CwPjg, https://g.page/r/CSeBNIlVrUmcEAE/review</t>
        </is>
      </c>
      <c r="BP16" s="8" t="inlineStr">
        <is>
          <t>Medium</t>
        </is>
      </c>
      <c r="BQ16" s="8" t="inlineStr">
        <is>
          <t>Title detail: President (own site Contact page 'KEVIN GRIFFITH - PRESIDENT' + BBB Business Management 'Mr. Kevin Griffith, President') — CONFIRMED, two independent sources. (1) Email route is open: kgriffith@griffithhvac.com is published verbatim on https://www.griffithhvac.com/contact under 'MANAGER CONTACT INFO' and MX resolves — CONFIRMED, safe to send; Sam calls within 48 hours. (2) Before promoting to SEND TODAY: run ghl-contacts.js dedupe (not run from this session), read the 20 newest Google reviews for reply behavior and any 'couldn't get through' language (unreadable this run), and run the D4 spot-check (search budget was exhausted). (3) Hours conflict is the opener — cite it as a neutral observation, not a gotcha. (4) Jamie Madures (GM, ext 108) is the day-to-day champion; address Kevin, be ready to send something Jamie can forward. (5) Angela Griffith is listed as HR; record only her staff role, do not infer any relationship. (6) Site is Wix/RedoSites with no schema and an AI-permissive robots.txt — clean GEO/AI-readable-site upsell later; Podium is already there, so do not pitch text-back as new, pitch voice. (7) Minor founding-date conflict (site 2002 vs BBB 2004) is within 2 years; 'since 2002' is safe to use. (8) Offers page has leftover template text ('Slide title', 'Write your caption here') — a small, verifiable sign nobody owns marketing day-to-day.</t>
        </is>
      </c>
      <c r="BR16" s="10" t="inlineStr"/>
      <c r="BS16" s="10" t="inlineStr"/>
      <c r="BT16" s="10" t="inlineStr"/>
    </row>
    <row r="17" ht="120" customHeight="1">
      <c r="A17" s="8" t="inlineStr">
        <is>
          <t>20261013-16</t>
        </is>
      </c>
      <c r="B17" s="8" t="inlineStr">
        <is>
          <t>2026-10-13</t>
        </is>
      </c>
      <c r="C17" s="8" t="n">
        <v>2</v>
      </c>
      <c r="D17" s="10" t="inlineStr"/>
      <c r="E17" s="10" t="inlineStr">
        <is>
          <t>New</t>
        </is>
      </c>
      <c r="F17" s="8" t="n">
        <v>54</v>
      </c>
      <c r="G17" s="8">
        <f>IF(F17="","",IF(F17&gt;=80,"A — send today",IF(F17&gt;=60,"B — worth a touch",IF(F17&gt;=40,"C — hold","D — reject"))))</f>
        <v/>
      </c>
      <c r="H17" s="8" t="inlineStr">
        <is>
          <t>Infinity Garage Door Repair</t>
        </is>
      </c>
      <c r="I17" s="8" t="inlineStr">
        <is>
          <t>Kevin</t>
        </is>
      </c>
      <c r="J17" s="8" t="inlineStr">
        <is>
          <t>Tzyoni</t>
        </is>
      </c>
      <c r="K17" s="8" t="inlineStr">
        <is>
          <t>Owner</t>
        </is>
      </c>
      <c r="L17" s="8" t="inlineStr">
        <is>
          <t>infinitygaragelv@gmail.com</t>
        </is>
      </c>
      <c r="M17" s="8" t="inlineStr">
        <is>
          <t>Generic (info@/office@)</t>
        </is>
      </c>
      <c r="N17" s="8" t="inlineStr">
        <is>
          <t>Confirmed</t>
        </is>
      </c>
      <c r="O17" s="8" t="inlineStr">
        <is>
          <t>Not found (only the main line +1 702-890-3611 is published anywhere)</t>
        </is>
      </c>
      <c r="P17" s="8" t="inlineStr">
        <is>
          <t>+1 702-890-3611 (main line; same number on site header tel: link, BBB, LinkedIn posts, Nextdoor; static, no call-tracking swap seen)</t>
        </is>
      </c>
      <c r="Q17" s="8" t="inlineStr">
        <is>
          <t>Garage door repair &amp; installation (residential + commercial, gates)</t>
        </is>
      </c>
      <c r="R17" s="8" t="inlineStr">
        <is>
          <t>extend</t>
        </is>
      </c>
      <c r="S17" s="8" t="inlineStr">
        <is>
          <t>Las Vegas</t>
        </is>
      </c>
      <c r="T17" s="8" t="inlineStr">
        <is>
          <t>NV</t>
        </is>
      </c>
      <c r="U17" s="8" t="inlineStr">
        <is>
          <t>The entire site was rebuilt in the last eight weeks (sitemap Aug 18 - Sep 28, 2026), so the owner is actively investing in his web presence right now - and the new site promises 'reach a real person 24/7 or schedule online in under a minute' with no scheduler behind it, so the gap is live today.</t>
        </is>
      </c>
      <c r="V17" s="8" t="inlineStr">
        <is>
          <t>Growth-Minded Operator (medium confidence; secondary: Tech-Forward Early Adopter)</t>
        </is>
      </c>
      <c r="W17" s="8" t="inlineStr">
        <is>
          <t>Voice AI live demo built from infinitygaragedoorrepair.com (generic home-services template: trade = garage door repair, problem = door stuck / car trapped), paired with missed-call text-back for the Saturday and mid-job gaps; demo_build = yes (D2 &gt;= 9). Secondary: free AI Search Visibility audit only after the spot-check is run (site already has schema, so do not pitch an AI-readable rebuild).</t>
        </is>
      </c>
      <c r="X17" s="8" t="inlineStr">
        <is>
          <t>Recover</t>
        </is>
      </c>
      <c r="Y17" s="8" t="inlineStr">
        <is>
          <t>Infinity Garage Door and the 10pm call</t>
        </is>
      </c>
      <c r="Z17" s="8" t="inlineStr">
        <is>
          <t>One of your Google reviews from last month says the customer called several "24/7" garage door shops at 10pm and Infinity was the one that actually picked up.</t>
        </is>
      </c>
      <c r="AA17" s="8" t="inlineStr">
        <is>
          <t>You're already winning the night calls when you can grab the phone - the question is the Saturday call, or the one that rings while Tommy is mid-spring-job and it goes to voicemail, because that homeowner just dials the next listing. We build a receptionist line trained on your own site that answers every call you miss, asks the door-stuck / car-trapped questions, and books the visit - and you call the demo number and hear it before you pay anything. Going live is one forwarding rule for missed or busy calls; rollback is one dial code.</t>
        </is>
      </c>
      <c r="AB17" s="8" t="inlineStr">
        <is>
          <t>'We already answer 24/7 ourselves - a real person picks up.' Answer: 'Good, then nothing changes on the calls you catch; this only takes the ones that ring out or hit voicemail while you're on a job or on a Saturday, and you can hear exactly how it handles a stuck-door call on the demo line first.'</t>
        </is>
      </c>
      <c r="AC17" s="8" t="inlineStr">
        <is>
          <t>Hi, is this Kevin? Kevin, this is Sam with Eat 4 Life Marketing — straight up, this is a cold call. I was on your new site last night: the emergency page promises 'reach a real person 24/7 or schedule online in under a minute,' but there's no scheduler behind it, so every night and weekend job rides on whoever can grab the phone while they're under a door. We build a receptionist line trained on Infinity's own site that answers every call that rings out, asks the stuck-door questions, and books the visit — and you call the demo number and hear it before you pay a dollar. Can I take 20 seconds to explain how it works, and then you tell me if it's worth a longer look?</t>
        </is>
      </c>
      <c r="AD17" s="8" t="inlineStr">
        <is>
          <t>Tue–Thu 7:30–8:30 AM PT before the first dispatch, with 4:30–5:30 PM PT as the fallback. Reason: no office staff, dispatcher or answering service is published; reviews show the person who answers is the tech who then drives out ('first company that I called, he came to my house within 20 minutes'), so mid-day calls land on someone under a door. Skip Saturday (weekend calls are paying emergencies and the legacy listing says closed).</t>
        </is>
      </c>
      <c r="AE17" s="8" t="inlineStr">
        <is>
          <t>Open 24/7 per site header, footer and Contact FAQ ('we answer 24 hours a day, 7 days a week'); Google Business Profile (via serviceagent.ai mirror) lists Open 24 hours Mon–Sun. A stale Nextdoor listing under the old domain shows Saturday: Closed — ignore. Form messages answered 'the same business day'.</t>
        </is>
      </c>
      <c r="AF17" s="8" t="inlineStr">
        <is>
          <t>PT</t>
        </is>
      </c>
      <c r="AG17" s="8" t="inlineStr">
        <is>
          <t>No office manager, dispatcher or answering service is named anywhere (site, BBB, Nextdoor, GBP mirror, 320 reviews); the Contact page says 'one call reaches the whole team', so the main line (702) 890-3611 almost certainly rings a tech's or owner's cell. Reviews name Tommy (Tomer Harush — BBB-listed Owner, site Lead Technician) as the person who shows up 8 times, Kevin twice, Danny once. If Tommy answers, he is a decision-maker, not a gatekeeper: run the opener on him and ask 'are you and Kevin the owners?' rather than asking for 'the owner'. Ask for Kevin by name; if he is on a job, get a 10-minute window instead of leaving a message (no voicemail-reply behavior observed). No cell published and no SMS consent on file — do not text. Do not use the web form (answered 'same business day'). Soft note only, never a lead: the site still has a '(555) 123-4567' template placeholder in its HTML, so nobody is QA-ing the OutDo OS vendor.</t>
        </is>
      </c>
      <c r="AH17" s="8" t="inlineStr">
        <is>
          <t>A Google review from about a month ago (shown on the site's Reviews page): the customer's door broke at 10pm, 'I called several other "24/7" places and no one answered or they could not come out until the morning' - and Infinity was the one that showed up. Pair with the brand-new website (all pages rebuilt Aug 18 - Sep 28, 2026). Reference as a pattern; do not name the reviewer.</t>
        </is>
      </c>
      <c r="AI17" s="8" t="inlineStr">
        <is>
          <t>(1) Booking friction: Emergency page promises 'Reach a real person 24/7 or schedule online in under a minute' but there is no online scheduler - the only path is phone or a form answered 'the same business day', so a 10pm form lead waits until morning (https://infinitygaragedoorrepair.com/emergency-garage-door-repair, /contact-us/). (2) 24/7 claim vs. listed hours: site 'Open 24/7' while Nextdoor hours show 'Saturday: Closed' (https://nextdoor.com/pages/infinity-garage-door-repair-las-vegas-nv/). (3) Coverage math: three named people cover 20 cities and a 24/7 line with no answering service or AI vendor detected. (4) Market signal in their own reviews: 'I called several other "24/7" places and no one answered or they could not come out until the morning' (review ~1 month ago, site Reviews page) and 'This was the first company that I called, he came to my house within 20 minutes' - speed wins the job; every missed ring is a job to the next listing. (5) Listing hygiene: LinkedIn and Nextdoor still show the retired domain and an info@ address on it. No reachability complaints found (reviews praise response time) - the leak evidence is structural, not complaint-based.</t>
        </is>
      </c>
      <c r="AJ17" s="8" t="inlineStr">
        <is>
          <t>New website / platform migration within 60 days: every page's sitemap lastmod is 2026-08-18 to 2026-09-28, blog posts dated 2026-08-17, robots.txt generated by OutDo OS on 2026-10-12, legacy domain garagedoorrepairlasvegas.co 301s to the branded domain (trigger_type: recent_rebrand_or_new_site; trigger_date: 2026-08-18; trigger_url: https://infinitygaragedoorrepair.com/sitemap.xml). Steady review inflow (newest 2 weeks ago). Hiring: Indeed company page 404, job-board search not possible this session (null). Ownership change: none found. Seasonal: no business-specific seasonal push observed.</t>
        </is>
      </c>
      <c r="AK17" s="8" t="inlineStr">
        <is>
          <t>(1) Website rebuilt/migrated within the last ~8 weeks: sitemap lastmod 2026-08-18 to 2026-09-28 across 40+ service, brand and city pages; blog posts dated Aug 17, 2026; robots.txt 'OutDo OS - Generated 2026-10-12'; copyright 2026; legacy keyword domain garagedoorrepairlasvegas.co now 301s to the branded domain (https://infinitygaragedoorrepair.com/sitemap.xml, /robots.txt, /blog/). (2) Active review engine: 'after we finish, the homeowner typically gets a direct Google link the same day'; 'Reviews sync to this page automatically' and the widget shows reviews from 2 weeks / 1 month / 2 months ago (https://infinitygaragedoorrepair.com/reviews/). (3) Service-area and line expansion: 20 cities, commercial doors, loading dock equipment and gate operators added as pages (service-areas page, sitemap). (4) LinkedIn company posts promoting neighborhood-specific spring service, ~10-11 months ago (https://www.linkedin.com/company/infinity-garage-door-repair). (5) Tech-forward secondary: FAQPage + HomeAndConstructionBusiness JSON-LD and robots.txt explicitly allowing GPTBot/OAI-SearchBot/ChatGPT-User (platform-driven). No hostile replies, no anti-marketing or anti-AI statements found (Facebook/Instagram/Yelp/GBP replies not viewable this session). Signals: 4 across website, reviews, LinkedIn.</t>
        </is>
      </c>
      <c r="AL17" s="8" t="inlineStr">
        <is>
          <t>Self-stated only: 'Owner of Infinity Garage Door Repair - 8+ years in the trade around Las Vegas, NV' (blog author bio). Founding story: 'Infinity Garage Door Repair was founded in 2018 with a simple goal: to build the most reliable local service team in Las Vegas.' Company describes itself as 'Veteran-owned &amp; operated' and 'Locally owned and operated - not a national franchise'; which individual is the veteran is not stated, so do not attribute it to a person. Prior career, military branch, trade school, family business: Not found. Podcasts/interviews/press: Not found. Memberships: 'IDA Member' badge (International Door Association) on site; BBB Accredited A+ since 2019.</t>
        </is>
      </c>
      <c r="AM17" s="8" t="inlineStr">
        <is>
          <t>Caveat: site copy is produced on the OutDo OS platform (template placeholders leak in the HTML), so these are brand claims more than the owner's own writing. Voice lines (site): 'Honest quotes before we start - no surprises.'; 'We focus on giving you the hard facts so you can make an educated decision for your home.'; 'You deal directly with the people who do the work.'; 'We never filter or pay for reviews, because the value depends on honesty.'; 'We base our reputation on transparent diagnostics rather than sales pitches.' Bragging points: 410 five-star Google reviews, BBB A+, licensed #0085827, veteran-owned, IDA member, 100% satisfaction guarantee, '25-point physical inspection', UL 325 sensor testing. Customers echo the no-upsell theme: 'No up-selling with new rollers or anything which was appreciated!' and 'Tommy was great! Very honest and helpful.' Tone label: professional / plain-spoken, not salesy. Review replies: site states 'If your review flags a problem, the owner reads it and replies personally' (claim; not observable this session). Awards/community/charity: none found.</t>
        </is>
      </c>
      <c r="AN17" s="8" t="inlineStr">
        <is>
          <t>Owner-operator</t>
        </is>
      </c>
      <c r="AO17" s="8" t="inlineStr">
        <is>
          <t>Not found for Kevin Tzyoni (direct profile check blocked by LinkedIn, no search available). Tomer Harush (BBB-listed principal / site Lead Technician): https://www.linkedin.com/in/tomer-harush-a4a515195 (linked from the company page People section; headline not readable logged-out). Company page: https://www.linkedin.com/company/infinity-garage-door-repair (47 followers, last posts ~10-11 months ago, still lists old domain garagedoorrepairlasvegas.co)</t>
        </is>
      </c>
      <c r="AP17" s="8" t="inlineStr">
        <is>
          <t>Company accounts only (from site footer/JSON-LD sameAs): https://www.facebook.com/infinitygaragedoorlv (login wall), https://www.instagram.com/infinity_garage_door (rate-limited, not read), https://x.com/InfinityGa7138 (not readable), https://www.youtube.com/channel/UCcnUAYBKDFXhf5zTn1tp1yw (no videos rendered), https://www.yelp.com/biz/infinity-garage-door-las-vegas-6 (403), Nextdoor page (1 recommendation, 2019). No personal owner social found.</t>
        </is>
      </c>
      <c r="AQ17" s="8" t="inlineStr">
        <is>
          <t>https://infinitygaragedoorrepair.com/</t>
        </is>
      </c>
      <c r="AR17" s="8" t="inlineStr">
        <is>
          <t>infinitygaragelv@gmail.com (site Contact + About pages and JSON-LD 'email'). Legacy listing on Nextdoor shows info@garagedoorrepairlasvegas.co, a domain that now 301s to the branded site; treat as STALE, not verified, do not use.</t>
        </is>
      </c>
      <c r="AS17" s="8" t="inlineStr">
        <is>
          <t>5510 S Fort Apache Rd, Las Vegas, NV 89148 (site Contact page, BBB, LinkedIn company page and Nextdoor all agree)</t>
        </is>
      </c>
      <c r="AT17" s="8" t="inlineStr">
        <is>
          <t>89148</t>
        </is>
      </c>
      <c r="AU17" s="8" t="inlineStr">
        <is>
          <t>Las Vegas plus 20 named areas: Henderson, Summerlin, North Las Vegas, Paradise, Enterprise, Spring Valley, Sunrise Manor, Whitney, Pahrump, Winchester, Boulder City, Seven Hills, Centennial Hills, Southern Highlands, Green Valley, Skye Canyon, Mountains Edge, The Lakes, Anthem, Providence (service-areas page + JSON-LD areaServed)</t>
        </is>
      </c>
      <c r="AV17" s="8" t="inlineStr">
        <is>
          <t>https://www.google.com/search?kgmid=/g/11h_9vbpy6 (Knowledge Graph id published in the site's JSON-LD sameAs; GBP page itself not directly reachable this session)</t>
        </is>
      </c>
      <c r="AW17" s="8" t="inlineStr">
        <is>
          <t>5.0 (site claim via embedded Google review widget: '5-star rating across 410 Google reviews'; GBP not directly verified)</t>
        </is>
      </c>
      <c r="AX17" s="8" t="inlineStr">
        <is>
          <t>410 (site claim; the same Reviews page elsewhere says '403 verified' - minor inconsistency). Recent inflow visible in widget: reviews dated '2 weeks ago', 'a month ago', '2 months ago' as of 2026-10-12.</t>
        </is>
      </c>
      <c r="AY17" s="8" t="inlineStr">
        <is>
          <t>2018 - site 'Founded in 2018 by Kevin Tzyoni'; BBB Business Started 2018-09-25 (Accredited since 2019-09-25); NV entity number E0449552018-0 (2018 filing series); LinkedIn 'Founded 2018'. No conflict. Branded domain registered 2021-11-02 (GoDaddy, per RDAP).</t>
        </is>
      </c>
      <c r="AZ17" s="8" t="inlineStr">
        <is>
          <t>3 named on site (Kevin Tzyoni - Owner; Tomer Harush - Lead Technician; Deni Long - Technician); LinkedIn company page: '2-10 employees', 'Discover all 3 employees'. Truck count not published.</t>
        </is>
      </c>
      <c r="BA17" s="8" t="inlineStr">
        <is>
          <t>1 (single address on site, BBB, LinkedIn, Nextdoor; 'Locally owned and operated - not a national franchise')</t>
        </is>
      </c>
      <c r="BB17" s="8" t="inlineStr">
        <is>
          <t>Garage door spring/cable/roller/panel/drum/sensor/off-track repair; opener repair &amp; installation (LiftMaster, Chamberlain, Genie); new door installation (steel, wood, glass, fiberglass, aluminum, carriage-house, insulated; Clopay, Amarr); maintenance &amp; safety inspection; weather seal; 24/7 emergency repair; commercial doors, rolling steel, high-speed doors, loading dock equipment; gate operators and driveway gate repair (sitemap, 40+ service pages)</t>
        </is>
      </c>
      <c r="BC17" s="8" t="inlineStr">
        <is>
          <t>modern (schema + FAQ JSON-LD, review-sync widget, same-day Google review link process, OutDo OS lead-capture form; BUT no online booking, no chat, no text-us, no financing widget, no GTM/Meta pixel/call tracking in source)</t>
        </is>
      </c>
      <c r="BD17" s="8" t="inlineStr">
        <is>
          <t>diy / platform-managed (OutDo OS site platform, no agency credit in footer, no ad pixels or call tracking found; LinkedIn posting stopped ~10 months ago; blog is templated cost-guide content; template placeholders '(555) 123-4567' in page HTML and '[your specific neighborhood within the Las Vegas Valley]' in a Nextdoor post suggest nobody QA's vendor output)</t>
        </is>
      </c>
      <c r="BE17" s="8" t="inlineStr">
        <is>
          <t>established (8 years, 410 reviews with steady inflow, 3 named staff, 20-city area, commercial expansion; no hiring posts found)</t>
        </is>
      </c>
      <c r="BF17" s="8" t="inlineStr">
        <is>
          <t>unknown (GBP and Yelp not reachable this session; site claims the owner replies personally to problem reviews; Nextdoor shows no business replies)</t>
        </is>
      </c>
      <c r="BG17" s="8" t="inlineStr">
        <is>
          <t>Site claims live coverage: header 'Open 24/7'; Contact FAQ 'we answer 24 hours a day, 7 days a week'; Emergency page 'Reach a real person 24/7 or schedule online in under a minute' (no scheduler exists). JSON-LD openingHours 00:00-23:59 all seven days. Contradiction: Nextdoor listing hours read 'Saturday: Closed' (other days 'midnight-11:59 PM'). No answering service, call center or AI receptionist vendor in page source or copy (null logged). A review ~1 month ago shows they did pick up a 10pm call when other '24/7' shops did not, so night answering is at least sometimes real; who answers (owner cell vs. service) is not published. Form leads: 'Messages sent through the form are answered the same business day.'</t>
        </is>
      </c>
      <c r="BH17" s="8" t="inlineStr">
        <is>
          <t>N - no scheduling widget or vendor script (checked source for calendly/acuity/housecallpro/servicetitan/jobber/square/podium etc.); 'Request Quote' links to the contact form; Emergency page nonetheless says 'schedule online in under a minute'</t>
        </is>
      </c>
      <c r="BI17" s="8" t="inlineStr">
        <is>
          <t>N - no chat or text-us widget (no tidio/intercom/tawk/podium/birdeye/textline scripts in source)</t>
        </is>
      </c>
      <c r="BJ17" s="8" t="inlineStr">
        <is>
          <t>Site platform: OutDo OS (assets on relay.outdoos.com; forms POST to relay.outdoos.com/api/v1/leads/capture; robots.txt generated by 'OutDo OS'); Divi/WordPress CSS class remnants; registrar GoDaddy. Schema: FAQPage + HomeAndConstructionBusiness JSON-LD. No GTM, no Meta pixel, no CallRail/CTM, no Hotjar, no booking/CRM/chat vendor, no agency credit in footer. Badges: BBB Accredited A+, IDA Member, state license #0085827.</t>
        </is>
      </c>
      <c r="BK17" s="8" t="inlineStr">
        <is>
          <t>Not verified - Google Ads/LSA SERP checks and Meta Ad Library could not be run this session (search budget exhausted; ad-library pages not fetchable). Negatives observed: no gclid/UTM landing pages, no call-tracking number swap, no pixels in source; Yelp ad status unknown (page 403).</t>
        </is>
      </c>
      <c r="BL17" s="8" t="inlineStr">
        <is>
          <t>not checked - the two money-question spot checks could not be run (WebSearch budget exhausted for this session). Related observation: site already carries FAQPage/LocalBusiness-type JSON-LD and robots.txt allows GPTBot/OAI-SearchBot/ChatGPT-User, so the AI-readable-site pitch is weak; run the GEO audit before promising a 'Named in 0 of N' line.</t>
        </is>
      </c>
      <c r="BM17" s="8" t="inlineStr">
        <is>
          <t>PASS - independent single-location business ('Locally owned and operated - not a national franchise'; LinkedIn 2-10 employees; BBB single address); website live (HTTP 200, HTTPS, (c) 2026); operating (BBB A+ accredited since 2019, 0 complaints in 3 years; TH SECURITY LLC Active on OpenCorporates; reviews 2 weeks old); inbound channels = phone + form; not a competitor category; no AI receptionist vendor detected; suppression.csv has no match for the company name or domain (only 'Infinity Roofing, LLC' FL - unrelated). Not completed: GHL 'E4L Services' dedupe (not available in this session).</t>
        </is>
      </c>
      <c r="BN17" s="8" t="inlineStr">
        <is>
          <t>D1 Decision-maker: 8/20 - full name + role cited (Kevin Tzyoni, Owner, site About/blog bio) but contact is a generic free-mail inbox (infinitygaragelv@gmail.com) + main line; owner name CONFLICT with BBB principal Tomer Harush (Owner) unresolved in budget; no owner LinkedIn for Kevin. Route call-first / DEMO PATH. | D2 Phone-coverage gap: 9/15 - phone-first ('Call for a Free Estimate', tel in header, no booking/chat) and urgent niche, but the site itself claims 'we answer 24 hours a day, 7 days a week' / 'Reach a real person 24/7' (unconfirmed, no vendor found, Nextdoor says Saturday Closed, a review confirms a 10pm pickup). | D3 Lead-response leak: 5/15 - one signal type (booking friction: no scheduler despite 'schedule online in under a minute', form answered same business day); zero responsiveness complaints found, reviews praise response time; Yelp/GBP/job boards unreachable (null logged). | D4 AI search visibility: 0/10 - NO EVIDENCE, spot-check could not be run; site already has FAQPage JSON-LD and AI-crawler-friendly robots.txt. | D5 ICP fit / ability to pay: 15/15 - independent, 1 location, named owner; niche on list; proxies: since 2018 (BBB 2018-09-25), 410 reviews (site claim), 3 named staff, installs $2.5k-8k ticket (niche reference), 20-city area + 24/7, BBB A+. | D6 Buying signals: 11/15 - dated trigger within 60 days (site rebuilt Aug 18 - Sep 28, 2026) with no paid-media signal found (Google Ads/LSA/Meta not checkable; no pixels/call tracking in source; pays for OutDo OS platform + BBB). | D7 Attitude / stack: 6/10 - positives: modern rebuilt site (2026), review-request process + schema, growth posture (20 cities, commercial lines); unknown review-reply behavior; no negatives; no bundled vertical agency (OutDo OS is a site platform). TOTAL 54 = WATCH band by rubric; blocker = D4 (not run). Status: PROVISIONAL (GHL 'E4L Services' dedupe not run in this session; D4 no evidence). If one GEO money question is run and the business is not named (D4 = 6-10), total becomes 60-64 = QUALIFIED.</t>
        </is>
      </c>
      <c r="BO17" s="8" t="inlineStr">
        <is>
          <t>https://infinitygaragedoorrepair.com/, https://infinitygaragedoorrepair.com/about-us/, https://infinitygaragedoorrepair.com/reviews/, https://infinitygaragedoorrepair.com/emergency-garage-door-repair, https://infinitygaragedoorrepair.com/contact-us/, https://www.bbb.org/us/nv/las-vegas/profile/garage-doors/infinity-garage-door-repair-1086-90067104, https://opencorporates.com/companies/us_nv/E0449552018-0, https://nextdoor.com/pages/infinity-garage-door-repair-las-vegas-nv/, https://www.linkedin.com/company/infinity-garage-door-repair, https://www.linkedin.com/in/tomer-harush-a4a515195, https://infinitygaragedoorrepair.com/sitemap.xml, https://infinitygaragedoorrepair.com/robots.txt, https://infinitygaragedoorrepair.com/blog/, https://infinitygaragedoorrepair.com/why-choose-us/, https://infinitygaragedoorrepair.com/service-areas/, https://garagedoorrepairlasvegas.co/ (301 to branded domain), https://rdap.org/domain/infinitygaragedoorrepair.com, https://www.google.com/search?kgmid=/g/11h_9vbpy6</t>
        </is>
      </c>
      <c r="BP17" s="8" t="inlineStr">
        <is>
          <t>Medium</t>
        </is>
      </c>
      <c r="BQ17" s="8" t="inlineStr">
        <is>
          <t>Title detail: Owner ('Owned &amp; operated by Kevin Tzyoni, Owner' - site About, Why Choose Us, Reviews pages; blog author bio 'Owner of Infinity Garage Door Repair - 8+ years in the trade around Las Vegas, NV'). CONFLICT / Needs-Review: BBB lists principal 'Mr. Tomer Harush, Owner'; the site lists Tomer Harush as Lead Technician; LinkedIn company type is 'Partnership' and OpenCorporates shows 3 officers (login-gated). Hypothesis: two or more partners in TH SECURITY LLC; verify on the Game Plan Call before using either name in copy.. Legal entity note: legal entity per site JSON-LD and OpenCorporates: TH SECURITY LLC, Nevada domestic LLC E0449552018-0, status Active. Verified in batch 1 research (2026-10-12), delivered today. NAME CONFLICT - verify first: site says Kevin Tzyoni is Owner (About, Why Choose Us, Reviews, blog bio); BBB principal is 'Mr. Tomer Harush, Owner'; LinkedIn company type 'Partnership'; OpenCorporates shows TH SECURITY LLC (Active) with 3 officers behind login, registered agent Lior Etach. Ask on the call: 'Is Kevin the owner, and is Tomer a partner?' Tomer ('Tommy') is the tech customers name in reviews - likely the second decision-maker and the one living with the phone. Email is a Gmail business inbox (deliverable, but gatekeeper-neutral) - call-first per D1 = 8; Sam dials +1 702-890-3611, trades window 7:00-8:30am or 4:00-5:30pm PT; Nextdoor says Saturday closed, so do not plan a Saturday call. Site runs on the OutDo OS platform (not a classic agency) - ask who manages it; placeholder leaks ('(555) 123-4567' in page HTML, '[your specific neighborhood]' in a Nextdoor post) mean nobody is QA-ing the vendor - a soft talking point, never lead with it. Site already has FAQPage/LocalBusiness-type JSON-LD and allows GPTBot, so skip the AI-readable-site pitch; run one GEO money question before promotion (D4 blocker). Not checked this session (search budget exhausted / pages blocked): GBP hours and owner replies, Yelp (403), Facebook/Instagram (login wall / 429), Indeed/ZipRecruiter, Google Ads/LSA, Meta Ad Library, Wayback diff (403), NV SOS officer list, NSCB license record (form-only). GHL 'E4L Services' dedupe not run here - run it before loading. Compliance: only the business main line is published; no cell found; no SMS/AI-voice consent; suppression list clear (only unrelated 'Infinity Roofing, LLC' FL on it).</t>
        </is>
      </c>
      <c r="BR17" s="10" t="inlineStr"/>
      <c r="BS17" s="10" t="inlineStr"/>
      <c r="BT17" s="10" t="inlineStr"/>
    </row>
    <row r="18" ht="120" customHeight="1">
      <c r="A18" s="8" t="inlineStr">
        <is>
          <t>20261013-17</t>
        </is>
      </c>
      <c r="B18" s="8" t="inlineStr">
        <is>
          <t>2026-10-13</t>
        </is>
      </c>
      <c r="C18" s="8" t="n">
        <v>2</v>
      </c>
      <c r="D18" s="10" t="inlineStr"/>
      <c r="E18" s="10" t="inlineStr">
        <is>
          <t>New</t>
        </is>
      </c>
      <c r="F18" s="8" t="n">
        <v>54</v>
      </c>
      <c r="G18" s="8">
        <f>IF(F18="","",IF(F18&gt;=80,"A — send today",IF(F18&gt;=60,"B — worth a touch",IF(F18&gt;=40,"C — hold","D — reject"))))</f>
        <v/>
      </c>
      <c r="H18" s="8" t="inlineStr">
        <is>
          <t>Gary Munson Heating &amp; A/C Service, Inc.</t>
        </is>
      </c>
      <c r="I18" s="8" t="inlineStr">
        <is>
          <t>Gary</t>
        </is>
      </c>
      <c r="J18" s="8" t="inlineStr">
        <is>
          <t>Munson</t>
        </is>
      </c>
      <c r="K18" s="8" t="inlineStr">
        <is>
          <t>Founder</t>
        </is>
      </c>
      <c r="L18" s="8" t="inlineStr">
        <is>
          <t>Not found</t>
        </is>
      </c>
      <c r="M18" s="8" t="inlineStr">
        <is>
          <t>None found</t>
        </is>
      </c>
      <c r="N18" s="8" t="inlineStr">
        <is>
          <t>Not found</t>
        </is>
      </c>
      <c r="O18" s="8" t="inlineStr">
        <is>
          <t>Not found (no cell, direct line or 'call me' number on any public page; only the main office line is tied to Gary on BBB/Chamber)</t>
        </is>
      </c>
      <c r="P18" s="8" t="inlineStr">
        <is>
          <t>+1 407-859-1494 (main line: site header tel: link, BBB, Winter Park Chamber, Blue Book). Other published numbers: +1 407-955-9648 on the Google Business Profile (serviceagent.ai GBP pull) and +1 407-794-4882 on EnergySage — three distinct numbers across channels, consistent with call-tracking numbers; vendor not identified. Fax +1 407-894-0746 (BBB/Chamber).</t>
        </is>
      </c>
      <c r="Q18" s="8" t="inlineStr">
        <is>
          <t>HVAC (residential + commercial HVAC and commercial refrigeration)</t>
        </is>
      </c>
      <c r="R18" s="8" t="inlineStr">
        <is>
          <t>core</t>
        </is>
      </c>
      <c r="S18" s="8" t="inlineStr">
        <is>
          <t>Orlando</t>
        </is>
      </c>
      <c r="T18" s="8" t="inlineStr">
        <is>
          <t>FL</t>
        </is>
      </c>
      <c r="U18" s="8" t="inlineStr">
        <is>
          <t>The front-desk seat is open today (careers page live) during Florida's cooling-to-heating shoulder season, with 'Fall Flip' maintenance content and the 'SPOOKY SAVINGS' promo running through 10/31/2026 pushing inbound calls at a thinner office; every day the seat is empty, calls land on techs or voicemail. MVP renewals and reminder calls are manual office work the same staff must do.</t>
        </is>
      </c>
      <c r="V18" s="8" t="inlineStr">
        <is>
          <t>Family-Legacy Pride Brand (primary); Growth-Minded Operator (secondary)</t>
        </is>
      </c>
      <c r="W18" s="8" t="inlineStr">
        <is>
          <t>Voice AI live demo built from munsonairconditioning.com (DEMO PATH, call-first to Sam) — framed as the overflow and after-hours line for a human-first shop, never as a replacement for the front-desk hire; ask #2 is the free AI-visibility check for 'emergency AC repair near Orlando'. Seasonal urgency angle: fall maintenance/heating prep + current promos driving calls into an office with an open front-desk seat.</t>
        </is>
      </c>
      <c r="X18" s="8" t="inlineStr">
        <is>
          <t>Recover</t>
        </is>
      </c>
      <c r="Y18" s="8" t="inlineStr">
        <is>
          <t>your Front Desk Office Staff opening</t>
        </is>
      </c>
      <c r="Z18" s="8" t="inlineStr">
        <is>
          <t>You're hiring Front Desk Office Staff while promising emergency service seven days a week with the office closing at 4:30 — who catches the calls in between right now?</t>
        </is>
      </c>
      <c r="AA18" s="8" t="inlineStr">
        <is>
          <t>Overflow and after-hours coverage for a 48-year family shop that says 'no frustrating automated systems': while the front-desk seat is open and after 4:30 on weekdays and all weekend, a line trained on Gary Munson's own site picks up, sorts AC-out/no-heat/maintenance calls, and books them into the existing schedule — a person still handles everything they can. Protect the MVP plan promises ('priority service', reminder calls) and the 633-review reputation. Do not say 'AI receptionist' first; say 'a line that answers when the office can't'. Coexist with iMarket Solutions (web/SEO) — this is phone coverage, not marketing replacement. Second ask: who ChatGPT names for emergency AC repair in Orlando.</t>
        </is>
      </c>
      <c r="AB18" s="8" t="inlineStr">
        <is>
          <t>'We already have 24/7 live support — a real person answers' (their maintenance page says exactly that). Response: good, then this only touches what that setup misses — the daytime overflow while the front-desk seat is empty and anything that still rolls to voicemail — and go-live is one conditional call-forwarding rule for missed/busy calls only, with a one-dial-code rollback; hear the demo line before deciding anything. Secondary: 'iMarket handles our marketing' → this is not web or SEO; it is phone coverage that books into what they already run.</t>
        </is>
      </c>
      <c r="AC18" s="8" t="inlineStr">
        <is>
          <t>"Hi, is Gary in? Gary, this is Sam with Eat 4 Life Marketing — this is a cold call, so I'll be quick and you can tell me to get lost. I was on your site this week: you've got Front Desk Office Staff posted, and you promise emergency service seven days a week while the office closes at 4:30. We build a phone line trained on your own company that picks up the overflow and the after-hours calls, sorts out who's got no AC, and books them — a real person still handles everything else. Before you pay a dollar, we build a demo line for Gary Munson Heating you can call and hear yourself. Can I take 20 seconds to ask who's catching those calls right now, or is there a better time for Sebastian to walk you through it?"</t>
        </is>
      </c>
      <c r="AD18" s="8" t="inlineStr">
        <is>
          <t>Tue–Thu 8:00–8:45 AM ET, right at office open before techs dispatch (office staffed from 8; the About page says Gary is 'still active in the company'), with a fallback of 3:30–4:15 PM ET before the posted 4:30 close. Avoid Monday mornings (weekend emergency backlog in a 7-day-emergency shop) and do not dial after 4:30 — the line may roll to whatever handles their '24/7 Live Customer Support', which wastes the call. Florida window is 8am–8pm; manual dial only.</t>
        </is>
      </c>
      <c r="AE18" s="8" t="inlineStr">
        <is>
          <t>Site: 'Office Hours: Monday – Friday 8am-4:30pm'; 'Emergency Service Available 7 Days a Week'. Google Business Profile (via serviceagent.ai pull): Mon–Fri 8 AM–5 PM, Saturday Closed, Sunday Closed; 'Emergency service' listed as a service.</t>
        </is>
      </c>
      <c r="AF18" s="8" t="inlineStr">
        <is>
          <t>America/New_York (Eastern Time; Orlando, FL)</t>
        </is>
      </c>
      <c r="AG18" s="8" t="inlineStr">
        <is>
          <t>Main line +1 407-859-1494 is the office line, staffed Mon–Fri from 8. Known office names: 'Maggie' (site review: 'Maggie (I think that was her name) was friendly and responsive'); 'Paula' listed as a company representative on the Winter Park Chamber page (no title). Second decision-maker: AJ Munson, 'Marketing / Estimator' (Chamber) — if Gary is out, ask for AJ since he owns marketing conversations; Debbera K Munson is a BBB-listed Director. No owner cell or direct line is published; no answering-service vendor is named. Suggested line: 'Hi, this is Sam — is Gary in this morning, or is AJ the one who handles marketing calls?' Whatever answers after 4:30 (person, service, voicemail) should be logged to update D2. Note the three different published numbers (site, GBP, EnergySage): dial the site number so the call is not attributed to a tracking source.</t>
        </is>
      </c>
      <c r="AH18" s="8" t="inlineStr">
        <is>
          <t>The live careers posting for 'Front Desk Office Staff' (https://www.munsonairconditioning.com/contact/careers, header banner 'We Are Hiring! View Open Positions', seen 2026-10-12) set against the site's own promise 'Emergency Service Available 7 Days a Week' with 'Office Hours: Monday – Friday 8am-4:30pm'. Bridge with their self-description 'Innovation-First Approach to Everything We Do' — this is the phone version of that. Secondary: 48 years and 633 reviews as the safe compliment.</t>
        </is>
      </c>
      <c r="AI18" s="8" t="inlineStr">
        <is>
          <t>(1) Hiring for the phone seat: careers page lists '1. Front Desk Office Staff' (plus 'Refrigeration Technician - Experience Required' and 'HVAC Technician - Experience Required'), header 'We Are Hiring! View Open Positions' — live 2026-10-12, no posting date. (2) Hours gap: 'Office Hours: Monday – Friday 8am-4:30pm' vs 'Emergency Service Available 7 Days a Week' / '24-hour emergency service'; GBP closed Sat &amp; Sun. (3) Manual outbound work tied to the phone: MVP plan 'Reminders: Don't worry about missing maintenance—we'll call you to make the appointment!' and 'Priority service: You get to jump to the front of the line' — the $169/yr membership promise depends on an office that answers and calls out. (4) Call-back form with no response-time promise. Nulls logged: no reachability complaints found in site reviews or BBB (0 complaints/3 yrs); site reviews praise the office ('Maggie (I think that was her name) was friendly and responsive'; 'She even called me on the day of my appointment to let me know that an earlier spot had opened up'); Google/Yelp review text not accessible this run.</t>
        </is>
      </c>
      <c r="AJ18" s="8" t="inlineStr">
        <is>
          <t>hiring_now: Front Desk Office Staff + 2 technician roles live on /contact/careers (seen 2026-10-12; undated). seasonal_peak_near: Florida cooling-to-heating shoulder season — blog 'Fall Flip: Switch from Cooling to Heating Season with Fall Maintenance Now' (2026) and promotions 'SPOOKY SAVINGS ARE HERE!' (gallery page states it runs until 10/31/2026), 'Get Your MVP Plan FREE for a Full Year!', 'Save 20% on REME LED or BLUE QR!'. Content cadence: weekly blog, latest 'Your House Isn't Haunted, It's Just Dusty' published Oct 5, 2026. No new-location, ownership-change or press trigger found.</t>
        </is>
      </c>
      <c r="AK18" s="8" t="inlineStr">
        <is>
          <t>Family-Legacy (website + BBB/Chamber, 5 signals): surname on the business; 'family-owned and operated company since starting business in 1978' (home); 'Gary is still active in the company along with his two sons' (/about); 'We consider all our team members as family... with the company for more than a decade' (/about); 'Employee-First Approach – We treat our employees like family' (/maintenance-program); BBB accredited since 1/11/2000 and Winter Park Chamber member. Growth-Minded (website only, 3 signals): 'We Are Hiring!' banner with 3 open roles (/contact/careers); weekly agency blog, latest Oct 5, 2026; four live promotions incl. 'Get Your MVP Plan FREE for a Full Year!' and financing. ai_stance = anti/human-first: 'no frustrating automated systems, just real help' (/maintenance-program). Confidence: medium-high (5 signals, 3 source categories for primary). No defensive or anti-vendor signals found; Google review replies and social voice could not be read this run.</t>
        </is>
      </c>
      <c r="AL18" s="8" t="inlineStr">
        <is>
          <t>Self-stated on company pages only: founded the company in 1978; principles 'hard work, innovation, and fostering a family feeling among all his employees' (site /about). Blue Book 'Our Story': 'Founded by Gary Munson, and he is still active in the company with his two boys, we are still a locally owned and family operated business. Gary established a successful operation with much hard work, loyal employees and by being innovative in his approach to the HVAC business. We strive daily to emulate the standard he set.' Prior career, trade school, military service: Not found. Second decision-makers: AJ Munson — 'Marketing / Estimator' (Winter Park Chamber), 'Est' (BBB); Debbera K Munson — 'Director' (BBB). The About page says 'Gary is still active in the company along with his two sons, who were with him from the start' but does not name them.</t>
        </is>
      </c>
      <c r="AM18" s="8" t="inlineStr">
        <is>
          <t>Tone: warm, family-legacy, proud of innovation and tenure; human-first on service. Verbatim lines: 'Innovation-First Approach to Everything We Do' and 'We consider all our team members as family... Many of them have been with the company for more than a decade' (/about); 'Employee-First Approach – We treat our employees like family' and 'a real human is ready to assist you—no frustrating automated systems, just real help when you need it' (/maintenance-program). Bragging points: since 1978 / 'Over Four Decades', 4.8 with 633 reviews, BBB A+ accredited since 2000, Daikin Comfort Pro, Mitsubishi Diamond Contractor. Community: Winter Park Chamber member; site has a 'Community Involvement' gallery page (one undated thumbnail, no captions). Reviews praise the office: 'From the folks you speak with on the phone to the service providers, everyone is kind, efficient, professional, and good.'</t>
        </is>
      </c>
      <c r="AN18" s="8" t="inlineStr">
        <is>
          <t>Owner-operator</t>
        </is>
      </c>
      <c r="AO18" s="8" t="inlineStr">
        <is>
          <t>Not found (company LinkedIn URL returned 404; owner profile X-ray could not be run this session — web search budget exhausted)</t>
        </is>
      </c>
      <c r="AP18" s="8" t="inlineStr">
        <is>
          <t>Owner personal accounts: Not found. Company accounts from site footer/BBB: Facebook https://www.facebook.com/MunsonAC/ (login-walled, activity not readable), X https://twitter.com/MunsonHeat_AC, YouTube https://www.youtube.com/channel/UCS3qmceTkWnQvAwhuFVpkMg (channel confirmed, stats not rendered), Pinterest https://www.pinterest.com/garymunsonair/. Posting cadence: unknown.</t>
        </is>
      </c>
      <c r="AQ18" s="8" t="inlineStr">
        <is>
          <t>https://www.munsonairconditioning.com</t>
        </is>
      </c>
      <c r="AR18" s="8" t="inlineStr">
        <is>
          <t>Not found (site is form-only: Send a Message / Request an Estimate / Get a Call Back; no mailto: in raw HTML; BBB lists no email; Chamber shows only a 'Send an Email' button; Blue Book no email)</t>
        </is>
      </c>
      <c r="AS18" s="8" t="inlineStr">
        <is>
          <t>2230 Curry Ford Rd, Suite B, Orlando, FL 32806 (site footer, BBB, GBP pull via serviceagent.ai, OpenCorporates head office)</t>
        </is>
      </c>
      <c r="AT18" s="8" t="inlineStr">
        <is>
          <t>32806</t>
        </is>
      </c>
      <c r="AU18" s="8" t="inlineStr">
        <is>
          <t>13 listed towns across Orange, Osceola and Seminole counties: Orlando, Winter Park, Casselberry, Lake Mary, Maitland, Longwood, Azalea Park, Lockhart, Oviedo, St. Cloud, Union Park, Windermere, Lake Nona (site /service-areas); Blue Book: 'We service Orange, Osceola, Seminole and surrounding counties'</t>
        </is>
      </c>
      <c r="AV18" s="8" t="inlineStr">
        <is>
          <t>https://www.google.com/maps/search/?api=1&amp;query=Gary+Munson+Heating+%26+Air+Conditioning+2230+Curry+Ford+Rd+Suite+B+Orlando+FL+32806 (Maps search link; place ID not captured this run — GBP data was read via the serviceagent.ai pull, which shows the GBP website link tagged utm_source=gbp)</t>
        </is>
      </c>
      <c r="AW18" s="8" t="inlineStr">
        <is>
          <t>4.8 (site badge '4.8 | 633 Reviews' and serviceagent.ai GBP pull '4.8 (521 Google reviews)', both seen 2026-10-12)</t>
        </is>
      </c>
      <c r="AX18" s="8" t="inlineStr">
        <is>
          <t>633 per site badge; 521 Google per serviceagent.ai GBP pull; BBB 6 reviews, 0 complaints in last 3 years (A+, accredited since 1/11/2000)</t>
        </is>
      </c>
      <c r="AY18" s="8" t="inlineStr">
        <is>
          <t>1978 — 'has been a family-owned and operated company since starting business in 1978' (site home); BBB foundingDate 1978-01-01; Blue Book 'Est. 1978'; EnergySage 1978. Entity: GARY MUNSON HEATING &amp; A/C SERVICE, INC., FL doc no. P95000052739, status Active, Domestic For Profit, registered agent Gary Munson (OpenCorporates; incorporation date login-gated; Sunbiz itself sits behind a Cloudflare challenge and was not bypassed). ~48 years in business.</t>
        </is>
      </c>
      <c r="AZ18" s="8" t="inlineStr">
        <is>
          <t>10–19 employees (Blue Book ProView 'Size 10-19 Employees', re-verified 2026-10-12). Seven staff named in site-embedded reviews: Will, Frank, Omar, Steve, Geoff, Cody (techs) and Maggie (office). Hiring 3 roles now.</t>
        </is>
      </c>
      <c r="BA18" s="8" t="inlineStr">
        <is>
          <t>1 (2230 Curry Ford Rd Suite B; sitemap has one office; no 'locations' page)</t>
        </is>
      </c>
      <c r="BB18" s="8" t="inlineStr">
        <is>
          <t>Residential: AC installation/replacement, AC repair &amp; maintenance, heat pumps, central AC, ductless, Wi-Fi thermostats, furnaces, indoor air quality (air purifiers, duct services, dehumidifiers). Commercial: commercial HVAC (maintenance, AC, IAQ, coolers, heating) and commercial refrigeration (coolers/freezers, ice machines, wine refrigerators). Maintenance membership: 'Gary Munson MVP Plan' $169/yr. Financing via Optimus Financing link; Payzer listed under affiliations. Brands: Daikin Comfort Pro, Mitsubishi Electric Diamond Contractor, Trane; ACCA member.</t>
        </is>
      </c>
      <c r="BC18" s="8" t="inlineStr">
        <is>
          <t>modern — online scheduling via brzy.io 'Schedule Service' (header + mobile), Optimus Financing portal link, Google Tag Manager (GTM-5GPSJHM) + gtag, HVACBusiness schema microdata (name/address/telephone/sameAs; no FAQPage), 'Chat' label in mobile header with no chat vendor script detected in HTML (podium/tidio/intercom/tawk/drift absent), © 2019–2026, SSL. No text-us button; no competing AI phone agent named.</t>
        </is>
      </c>
      <c r="BD18" s="8" t="inlineStr">
        <is>
          <t>agency_managed — footer credit 'iMarket Solutions: Dedicated to Contractor Success' (HVAC-vertical agency, incumbent), templated weekly blog (~200 posts, no bylines), promotions pages, GTM/gtag, distinct phone numbers on GBP and EnergySage (tracking). Paid-media status unknown (see ads_running).</t>
        </is>
      </c>
      <c r="BE18" s="8" t="inlineStr">
        <is>
          <t>established with scaling signals — 48 years, 10–19 employees, 521–633 reviews, now hiring Front Desk Office Staff + Refrigeration Technician + HVAC Technician (careers page live 2026-10-12)</t>
        </is>
      </c>
      <c r="BF18" s="8" t="inlineStr">
        <is>
          <t>unknown — Google review owner replies and Yelp could not be read this run (Yelp 403, Google review text not accessible without search); site-embedded reviews show no owner replies; BBB shows 0 complaints in 3 years so no complaint-response tone to read</t>
        </is>
      </c>
      <c r="BG18" s="8" t="inlineStr">
        <is>
          <t>Claims vs hours conflict, mechanism unconfirmed. Site: 'Emergency Service Available 7 Days a Week' (header/footer) and 'You can rely on us for 24-hour emergency service when you have a summer cooling emergency' (home) vs 'Office Hours: Monday – Friday 8am-4:30pm' (home/contact). GBP (serviceagent.ai pull): Mon–Fri 8 AM–5 PM, Saturday Closed, Sunday Closed, 'Emergency service' listed. Maintenance page: 'Our 24/7 Live Customer Support ensures that whenever a problem arises, a real human is ready to assist you—no frustrating automated systems, just real help when you need it.' No answering-service vendor, forwarding rule or on-call process is named anywhere. Sam must record who answers after 4:30 (own staff, service, forwarded cell, or voicemail).</t>
        </is>
      </c>
      <c r="BH18" s="8" t="inlineStr">
        <is>
          <t>Yes — 'Schedule Service' buttons link to https://brzy.io/w3sbwxj (header, mobile masthead, contact pages); plus web forms 'Get a Call Back' (dropdowns only, no response-time promise), 'Request an Estimate', 'Send a Message'. Phone remains the primary CTA ('Call Today!' on all four promotions).</t>
        </is>
      </c>
      <c r="BI18" s="8" t="inlineStr">
        <is>
          <t>'Chat' label in the mobile header only; no chat/text vendor script found in the raw HTML (checked podium, birdeye, tidio, intercom, drift, tawk, livechat, textline, weave) — treat as unverified/likely non-functional label. No 'text us' number.</t>
        </is>
      </c>
      <c r="BJ18" s="8" t="inlineStr">
        <is>
          <t>iMarket Solutions (website/marketing agency, footer credit); Google Tag Manager GTM-5GPSJHM + gtag; brzy.io (online scheduling); Optimus Financing (apply.optimusfinancing.com/EG-65945); Payzer (affiliations page); Daikin Comfort Pro, Mitsubishi Electric Diamond Contractor, Trane, ACCA (affiliations); probable call tracking (GBP 407-955-9648 and EnergySage 407-794-4882 differ from site 407-859-1494; no CallRail/CTM script in HTML, vendor unknown). No CRM/field-software script (ServiceTitan, Housecall Pro, Jobber) detected. No AI receptionist or answering-service vendor named.</t>
        </is>
      </c>
      <c r="BK18" s="8" t="inlineStr">
        <is>
          <t>Could not be checked this run: Google Ads Transparency Center page did not render results for munsonairconditioning.com; Meta Ad Library returned 403; LSA/'Google Guaranteed' unit not checked (no Google Guaranteed badge on the site). Spend evidence limited to groups (d)/(e): agency credit, GTM/gtag, tracking numbers, scheduling/financing/payment tools.</t>
        </is>
      </c>
      <c r="BL18" s="8" t="inlineStr">
        <is>
          <t>not checked (AI spot-check on ChatGPT/Perplexity/Gemini could not be run this session; site has HVACBusiness microdata but no FAQPage JSON-LD and robots.txt allows all crawlers). Run one money question — 'emergency AC repair near Orlando, FL' — before promotion; D4 scored 0 NO EVIDENCE until then.</t>
        </is>
      </c>
      <c r="BM18" s="8" t="inlineStr">
        <is>
          <t>PASS — Independent family corporation, 1 location, no franchise/parent/PE language (site, BBB, OpenCorporates). Working own-domain site (200 OK, SSL, © 2019–2026). Live FL business: entity Active (OpenCorporates P95000052739), blog post Oct 5 2026, promos through 10/31/2026, GBP open hours. Inbound channels: phone + 3 forms + brzy.io scheduling. Not a competitor category. No competing AI phone agent (site: 'no frustrating automated systems'). Not on suppression.csv or seen.csv (grepped 'munson', 'munsonairconditioning', '859-1494' — no hits). No 'no solicitation' notice seen. Not run: GHL E4L Services dedupe (no GHL access in this task).</t>
        </is>
      </c>
      <c r="BN18" s="8" t="inlineStr">
        <is>
          <t>D1 Decision-maker: 8/20 — Gary Munson full name + role from three independent sources (site /about 'founded... in 1978', BBB 'Owner', Chamber 'President'; OpenCorporates registered agent) but no email, direct line or LinkedIn found; site form-only → DEMO PATH / call-first. | D2 Phone gap: 9/15 — phone-first (header tel link, 'Call Today!' promos, call-back form) with direct gap proof ('Office Hours: Monday – Friday 8am-4:30pm' vs 'Emergency Service Available 7 Days a Week'; GBP Sat/Sun Closed), capped at 9 because the maintenance page claims '24/7 Live Customer Support... a real human is ready to assist you' with no vendor or mechanism named — unconfirmed; Sam's first-call 'who answered' updates this. | D3 Leak evidence: 5/15 — exactly one signal type: live careers posting for 'Front Desk Office Staff'; no reachability complaints in accessible reviews/BBB; online booking present so no booking friction; Google/Yelp text and reply rate not accessible. | D4 AI visibility: 0/10 NO EVIDENCE — spot-check not run; site has HVACBusiness microdata, no FAQPage. | D5 ICP fit: 15/15 — independent family corp, 1 location, named owner; HVAC core niche; proxies: since 1978, 521–633 reviews, 10–19 employees + 7 named staff, HVAC install ticket + Optimus financing/Payzer, 13-town 3-county area + 7-day emergency. | D6 Timing/spend: 11/15 — live hiring trigger (undated, observed 2026-10-12) + seasonal promos through 10/31/2026, plus spend groups (d) iMarket Solutions/GTM/tracking numbers and (e) Payzer/Optimus/brzy.io; paid-media groups (a)(b)(c) could not be checked. | D7 Attitude/stack: 6/10 — positives: modern site (© 2019–2026, weekly blog), tech adoption (scheduling, financing, GTM), growth posture (hiring 3 roles); no negatives; capped at 6 for incumbent bundled HVAC-vertical agency iMarket Solutions (coexist as phone layer; GEO wedge). | TOTAL 54 — TRUSTED (6 of 7 dimensions with evidence; D1 positive; D2 quoted hours; D5 cited) but band WATCH (35–54) on the D4 blocker; one GEO money question would move it to QUALIFIED (60–64). Hard-disqualifier pass: PASS (suppression.csv and seen.csv grepped clean for 'munson', domain and 407-859-1494; GHL dedupe not run in this task).</t>
        </is>
      </c>
      <c r="BO18" s="8" t="inlineStr">
        <is>
          <t>https://www.munsonairconditioning.com/contact/careers, https://www.munsonairconditioning.com/, https://www.munsonairconditioning.com/maintenance-program, https://www.munsonairconditioning.com/about, https://www.bbb.org/us/fl/orlando/profile/air-conditioning-contractor/gary-munson-heating-ac-service-inc-0733-38000081, https://business.winterpark.org/list/member/gary-munson-heating-a-c-service-inc-5008890, https://serviceagent.ai/directory/florida/orlando/hvac/gary-munson-heating-air-conditioning/, https://opencorporates.com/companies/us_fl/P95000052739, https://www.thebluebook.com/iProView/801474/gary-munson-heating-a-c-service-inc/subcontractors/, https://www.munsonairconditioning.com/contact/get-a-call-back, https://www.munsonairconditioning.com/about/reviews, https://www.munsonairconditioning.com/about/promotions, https://www.munsonairconditioning.com/gallery/community-involvement, https://www.munsonairconditioning.com/about/affiliations, https://www.munsonairconditioning.com/about/financing, https://www.munsonairconditioning.com/daikin-comfort-pro, https://www.munsonairconditioning.com/service-areas, https://www.munsonairconditioning.com/blog/ductwork/your-house-isnt-haunted-its-just-dusty/, https://www.munsonairconditioning.com/robots.txt, https://www.energysage.com/supplier/27826/gary-munson-heating-ac-service-inc/, https://brzy.io/w3sbwxj, https://www.facebook.com/MunsonAC/, https://twitter.com/MunsonHeat_AC, https://www.youtube.com/channel/UCS3qmceTkWnQvAwhuFVpkMg</t>
        </is>
      </c>
      <c r="BP18" s="8" t="inlineStr">
        <is>
          <t>Medium</t>
        </is>
      </c>
      <c r="BQ18" s="8" t="inlineStr">
        <is>
          <t>Title detail: Founder (site About: 'Gary Munson founded Gary Munson Heating &amp; Air Conditioning in 1978'); 'Owner' (BBB principal contact); 'President' (Winter Park Chamber: 'Mr. Gary Munson, President'); registered agent of the FL corporation (OpenCorporates). Legal entity note: DBA Gary Munson Heating &amp; Air Conditioning. Verified in batch 1 research (2026-10-12), delivered today. Route: DEMO PATH, call-first to Sam; no email slot — no address exists anywhere public. Score 54 = TRUSTED but WATCH on the D4 blocker; run one GEO money question (ChatGPT + Perplexity, 'emergency AC repair near Orlando, FL') and re-score — a D4 of 6 or 10 lands QUALIFIED at 60–64. Build the demo before Sam calls (D2 = 9, site scrapes cleanly; check the demo pool first). Human-first stance quote ('no frustrating automated systems') means no 'AI' in the opener; lead with missed/overflow calls and 'a real person still handles the rest'. Gary is the signer (Founder/Owner/President, 'still active'); AJ Munson is 'Marketing / Estimator' per the Chamber and the practical champion for any marketing or tech conversation — do not state family relationship; the About page only says Gary's two sons work there unnamed. Incumbent: iMarket Solutions (HVAC-vertical agency) — position E4L as the phone layer, GEO as the wedge. Not verified this run (log for Rozel): Google owner-reply behavior, Facebook/X/YouTube activity, SOS officer list (Sunbiz Cloudflare-walled; OpenCorporates shows Active + registered agent Gary Munson), Google Ads/LSA/Meta spend, Yelp, Indeed. GHL dedupe by domain/phone still required before load.</t>
        </is>
      </c>
      <c r="BR18" s="10" t="inlineStr"/>
      <c r="BS18" s="10" t="inlineStr"/>
      <c r="BT18" s="10" t="inlineStr"/>
    </row>
    <row r="19" ht="120" customHeight="1">
      <c r="A19" s="8" t="inlineStr">
        <is>
          <t>20261013-18</t>
        </is>
      </c>
      <c r="B19" s="8" t="inlineStr">
        <is>
          <t>2026-10-13</t>
        </is>
      </c>
      <c r="C19" s="8" t="n">
        <v>2</v>
      </c>
      <c r="D19" s="10" t="inlineStr"/>
      <c r="E19" s="10" t="inlineStr">
        <is>
          <t>New</t>
        </is>
      </c>
      <c r="F19" s="8" t="n">
        <v>54</v>
      </c>
      <c r="G19" s="8">
        <f>IF(F19="","",IF(F19&gt;=80,"A — send today",IF(F19&gt;=60,"B — worth a touch",IF(F19&gt;=40,"C — hold","D — reject"))))</f>
        <v/>
      </c>
      <c r="H19" s="8" t="inlineStr">
        <is>
          <t>New Era Plumbing LLC</t>
        </is>
      </c>
      <c r="I19" s="8" t="inlineStr">
        <is>
          <t>Joshua</t>
        </is>
      </c>
      <c r="J19" s="8" t="inlineStr">
        <is>
          <t>McCaughty (site spelling; ACC statutory-agent record spells it "Mcaughty": "Joshua Cameron Mcaughty")</t>
        </is>
      </c>
      <c r="K19" s="8" t="inlineStr">
        <is>
          <t>Owner / Founder</t>
        </is>
      </c>
      <c r="L19" s="8" t="inlineStr">
        <is>
          <t>Not found (no personal address; only management@neweraplumbingaz.com on site — see company_email_generic)</t>
        </is>
      </c>
      <c r="M19" s="8" t="inlineStr">
        <is>
          <t>Role (owner@/sales@)</t>
        </is>
      </c>
      <c r="N19" s="8" t="inlineStr">
        <is>
          <t>Confirmed</t>
        </is>
      </c>
      <c r="O19" s="8" t="inlineStr">
        <is>
          <t>Not found (no published direct/cell line; site says the owner personally answers the main line +1 480-440-6730 — "Ask for Josh")</t>
        </is>
      </c>
      <c r="P19" s="8" t="inlineStr">
        <is>
          <t>+1 480-440-6730 (site header/footer tel: links x32; matches ACC-mirrored directories; labeled "Emergency Line" on site)</t>
        </is>
      </c>
      <c r="Q19" s="8" t="inlineStr">
        <is>
          <t>Plumbing (residential service; emergency, water heaters, drain/sewer, repipe, leak detection)</t>
        </is>
      </c>
      <c r="R19" s="8" t="inlineStr">
        <is>
          <t>core</t>
        </is>
      </c>
      <c r="S19" s="8" t="inlineStr">
        <is>
          <t>Mesa (site HQ: 1660 S Alma School Rd Ste 226; GBP pin and ACC registered address are Chandler, 1317 W Palomino Dr)</t>
        </is>
      </c>
      <c r="T19" s="8" t="inlineStr">
        <is>
          <t>AZ</t>
        </is>
      </c>
      <c r="U19" s="8" t="inlineStr">
        <is>
          <t>He just rebuilt the website (homepage published 2026-04-21, About page titled "2026 About Us", last sitemap update 2026-09-16) and rebranded the entity from Plumbing Kings LLC to New Era Plumbing LLC — he is investing in how the business presents itself right now, and the new site doubles down on "the owner answers the phone, 24/7, holidays included" with no booking, chat, or text fallback. Reviews are climbing (165 in Apr 2026 to 175), so call volume is rising on one person's phone. His own homepage copy ("Your water heater dies before a family party", "No waiting until Monday") makes the holiday-season weekend call a natural conversation hook (not a scored trigger).</t>
        </is>
      </c>
      <c r="V19" s="8" t="inlineStr">
        <is>
          <t>Overwhelmed Owner-Operator (primary, medium confidence) / Growth-Minded Operator (secondary)</t>
        </is>
      </c>
      <c r="W19" s="8" t="inlineStr">
        <is>
          <t>Voice AI live demo built from neweraplumbingaz.com — emergency/overflow angle: the agent takes only the calls Josh physically cannot (busy/missed, conditional forwarding), qualifies the homeowner (name, number, address, problem, urgency) and books the window; pair with missed-call text-back. demo_build = yes (phone-first, site scrapable, D2 = 9). Run one GEO money question before send to re-score D4; hold the GEO pitch for later because the incumbent web vendor sells GEO/AEO. Door-opener = demo number (not Scorecard) because the pain is structural, not quotable.</t>
        </is>
      </c>
      <c r="X19" s="8" t="inlineStr">
        <is>
          <t>Recover (per matrix) — budget caution: 2022-founded one-crew shop; the à la carte solo voice agent is the fallback if Recover is heavy (no prices in outreach)</t>
        </is>
      </c>
      <c r="Y19" s="8" t="inlineStr">
        <is>
          <t>Josh — the second call during a water heater swap</t>
        </is>
      </c>
      <c r="Z19" s="8" t="inlineStr">
        <is>
          <t>Your site says it plainly — "When you call New Era Plumbing, you're not getting a call center. You're getting Josh," 24/7, holidays included — which also means every ring during a water heater swap lands on one person.</t>
        </is>
      </c>
      <c r="AA19" s="8" t="inlineStr">
        <is>
          <t>Overflow coverage that protects his own brand promise: he keeps answering every call he can; the demo line (trained on his site: flat-rate pricing, 60-minute response, Mesa/East Valley service area, water heaters, sewer, repipe) only catches the busy/missed ones, gets the homeowner's details and books the arrival window, then texts the caller back. Proof lever: "call the demo number and try to break it before you pay a dollar." Go-live is one conditional call-forwarding rule; rollback is one dial code. Do not say "you're missing calls" (no evidence) — say "the second call". Do not pitch GEO or schema on the first touch.</t>
        </is>
      </c>
      <c r="AB19" s="8" t="inlineStr">
        <is>
          <t>"A real person answering is my whole brand — I don't want a robot talking to my customers." Reply: nothing changes when he picks up; forwarding fires only when the line is busy or unanswered, which today is the exact moment a homeowner hears voicemail and calls the next plumber; the agent is trained on his own site, he can hear it first on the demo number, and he can turn it off with one dial code. Secondary objection: budget/size (2022, small crew) — keep to the demo and the Game Plan Call, no numbers.</t>
        </is>
      </c>
      <c r="AC19" s="8" t="inlineStr">
        <is>
          <t>"Hi, Josh? Sam with Eat 4 Life Marketing — this is a cold call, so I'll be quick. Your site says when someone calls New Era they get you, not a call center, 24/7, holidays included. Honest question: when you're mid water-heater swap and the second call hits, where does it land? We build a demo line trained on your own website that picks up that call, gets the homeowner's details, and books it — you can hear it before you pay a dollar. Can I take 20 seconds to tell you how it works?"</t>
        </is>
      </c>
      <c r="AD19" s="8" t="inlineStr">
        <is>
          <t>Tue-Thu 7:00-8:15 AM MST (= Pacific time until Nov 1) — the site says the owner answers the main line himself ("Ask for Josh", "You're getting Josh") and "most days he is the one standing on your doorstep", so catch him before the first dispatch; avoid Monday mornings (weekend emergency backlog for a 24/7 one-crew shop). Backup window: 4:30-5:30 PM MST. If he answers mid-job, ask for a 2-minute callback slot rather than pitching.</t>
        </is>
      </c>
      <c r="AE19" s="8" t="inlineStr">
        <is>
          <t>Site footer: "Open 24/7 – emergency service always available, including holidays"; About: "Hours: open 24/7, including nights, weekends and holidays"; GBP (per serviceagent.ai mirror of Google Business Profile): "Open 24 hours, Monday through Sunday"</t>
        </is>
      </c>
      <c r="AF19" s="8" t="inlineStr">
        <is>
          <t>America/Phoenix — MST year-round, UTC-7 (Arizona does not observe DST: same clock as Los Angeles until Nov 1, 2026, then 1 hour ahead of LA)</t>
        </is>
      </c>
      <c r="AG19" s="8" t="inlineStr">
        <is>
          <t>No gatekeeper identified. Site states the owner answers: "You call. Josh or a team member answers" and "Call (480) 440-6730 any hour of any day. Ask for Josh." No office manager, dispatcher, or CSR named on the site, in on-site reviews, or in any job post (none found). Site explicitly says no answering service and no call center ("a person, not a recording or an overnight answering service"). Expect Josh himself or a crew member on the main line; if a crew member answers, ask for Josh by first name and offer to call back at a time he names. No ROC license number published ("proof available upon request" style claim: "Licensed &amp; Insured"), so do not reference a license number.</t>
        </is>
      </c>
      <c r="AH19" s="8" t="inlineStr">
        <is>
          <t>The 2026 site rebuild and its own headline: "The owner answers the phone. The owner shows up. That's the whole idea!" (https://neweraplumbingaz.com/about-new-era-plumbing-mesa-az/). Opener in Sebastian's voice: "Your new site says it straight: the owner answers the phone, the owner shows up. Curious who answers when you're the one under the sink." Why it works: it quotes him, it's recent (page published Apr 2026), it's positive, and it points at the exact gap the demo fills without judging him.</t>
        </is>
      </c>
      <c r="AI19" s="8" t="inlineStr">
        <is>
          <t>(1) Single human carrying a 24/7 live-answer promise: "When you call New Era Plumbing, you're not getting a call center. You're getting Josh." (https://neweraplumbingaz.com/); "Josh holds the license and runs the jobs personally. Most days he is the one standing on your doorstep with the wrench already in his hand." and "You call. Josh or a team member answers and asks what is going on." (https://neweraplumbingaz.com/about-new-era-plumbing-mesa-az/); footer "Open 24/7 – emergency service always available, including holidays". (2) Booking/contact friction verified in page source: no online scheduling, no chat, no text-us; contact form has no response-time promise or auto-confirmation ("send a message below and we will get back to you fast"). (3) Every on-site Google review names Josh as the person who answered and showed up (e.g., "Josh was quick to respond, assess the situation, and get it taken care of", 5 March 2025) — the business IS one person's phone. (4) Explicit anti-answering-service brand stance: "a person, not a recording or an overnight answering service" — the promise that breaks when two calls arrive at once. LOGGED NULLS: no reachability complaints found (on-site Trustindex 8 reviews Mar 2025 all positive; GBP reviews not readable; Yelp/BBB/Nextdoor: no listings found); no job posts found (Indeed, ZipRecruiter, Glassdoor, Craigslist searches: none).</t>
        </is>
      </c>
      <c r="AJ19" s="8" t="inlineStr">
        <is>
          <t>(a) Website rebuilt in 2026: homepage WebPage JSON-LD datePublished 2026-04-21 (dateModified 2026-08-21), About page literally titled "2026 About Us / Contact Us Page", page-sitemap lastmod 2026-09-16 — ~175 days ago (61-180 day window; Wayback unreachable to diff). (b) Rebrand: entity previously "Plumbing Kings LLC" per OpenCorporates (date not shown). (c) New domain registered 2025-02-24; YouTube channel "New Era Plumbing LLC" created 2025-03-04 (1 subscriber, no videos/description); on-site review burst of 8 Google reviews dated 5-7 March 2025 (review-request push). (d) Review count climbing: 165 (Lantern, Apr 2026) -&gt; 175 (ServiceAgent). No hiring, no press, no new-location, no negative trigger found.</t>
        </is>
      </c>
      <c r="AK19" s="8" t="inlineStr">
        <is>
          <t>Overwhelmed signals (3, across website + reviews): [site] "When you call New Era Plumbing, you're not getting a call center. You're getting Josh." + "Josh holds the license and runs the jobs personally" + "the same small crew" (https://neweraplumbingaz.com/, About page, seen 2026-10-13); [site source] single phone CTA, no booking widget, no chat, no text-us (page source scan 2026-10-13); [reviews] all 8 on-site Google reviews (5-7 Mar 2025) name Josh as the one who answered and did the job ("Josh was quick to respond", "Josh was able to come out quickly"). Growth-Minded signals: 2026 site rebuild (JSON-LD datePublished 2026-04-21), rebrand from Plumbing Kings LLC (OpenCorporates), review count rising 165-&gt;175, copy "A NEW GENERATION OF PLUMBING" / "everything to prove", 10% first-service offer. Contradicting evidence: none hostile; no reachability complaints found (GBP unreadable), so Overwhelmed is inferred from structure, not from complaint reviews — hence medium, not high. Not Old-School: site is new, modern, mobile, 2026 copyright. Not Defensive: no negative replies found.</t>
        </is>
      </c>
      <c r="AL19" s="8" t="inlineStr">
        <is>
          <t>Self-stated on site only: "Josh McCaughty started it in 2022 after years of watching homeowners get handed a bill nobody bothered to explain"; "Josh holds the license" (AZ plumbing license claimed; ROC number not published and ROC portal not reachable from this environment). Prior entity name Plumbing Kings LLC (OpenCorporates). No interviews, podcasts, press, trade-school, or military mentions found. Nothing else public.</t>
        </is>
      </c>
      <c r="AM19" s="8" t="inlineStr">
        <is>
          <t>Tone: direct, plain-spoken, anti-call-center, anti-upsell, first-person-owner brand (warm_personal / terse). Verbatim lines: "The owner answers the phone. The owner shows up. That's the whole idea!" (About); "Old standards, new urgency." (About); "This crew has everything to prove." (About); "No voicemail. No 'we'll get back to you.' No waiting until Monday." (Home); "Eco-friendly is not a slogan we bolted on. In a place this hot and this dry, efficient plumbing is just better math." (About). Bragging points: flat-rate price before work starts, 60-minute response, owner personally on every job, cleanup after work, 100% satisfaction guarantee, 10% off first service. Brand-level statement the business publishes: "Our team is open about our Christian faith" (About) — a faith-forward brand; do not lead with it. Values: transparency, accountability, showing up. Likely to judge the word "AI" against his "real person, not a recording" promise — frame as overflow coverage.</t>
        </is>
      </c>
      <c r="AN19" s="8" t="inlineStr">
        <is>
          <t>Owner-operator</t>
        </is>
      </c>
      <c r="AO19" s="8" t="inlineStr">
        <is>
          <t>Not found (X-ray searches for McCaughty / "New Era Plumbing" Arizona on LinkedIn returned no profile or company page)</t>
        </is>
      </c>
      <c r="AP19" s="8" t="inlineStr">
        <is>
          <t>Business accounts linked from site footer: Facebook share link https://www.facebook.com/share/1JwkdG4ESq/ (returns 400; page name unresolved), YouTube https://www.youtube.com/@NewEraPlumbingLLC (1 subscriber, joined Mar 4 2025, no description or videos seen), X https://x.com/neweraplumbing (not readable, 402). The site's Instagram icon links to a personal-looking handle rather than a New Era business account (not recorded). No owner personal profiles found.</t>
        </is>
      </c>
      <c r="AQ19" s="8" t="inlineStr">
        <is>
          <t>https://neweraplumbingaz.com</t>
        </is>
      </c>
      <c r="AR19" s="8" t="inlineStr">
        <is>
          <t>management@neweraplumbingaz.com (mailto on homepage footer + About page; MX present: 10 smtp.google.com)</t>
        </is>
      </c>
      <c r="AS19" s="8" t="inlineStr">
        <is>
          <t>Site: 1660 S Alma School Rd, Suite 226, Mesa, AZ 85210 — https://neweraplumbingaz.com/about-new-era-plumbing-mesa-az/ ; ACC registered/agent address: 1317 W Palomino Dr, Chandler, AZ 85224 — https://opencorporates.com/companies/us_az/23482518 (address CONFLICT logged; both business-tied)</t>
        </is>
      </c>
      <c r="AT19" s="8" t="inlineStr">
        <is>
          <t>85210 (site) / 85224 (ACC registered address + GBP)</t>
        </is>
      </c>
      <c r="AU19" s="8" t="inlineStr">
        <is>
          <t>Mesa (home city), Chandler, Gilbert, Tempe, Scottsdale, Queen Creek, AZ (site About page "Service area" line and footer)</t>
        </is>
      </c>
      <c r="AV19" s="8" t="inlineStr">
        <is>
          <t>https://maps.app.goo.gl/RQuhMnhtRhFjkCjq5 (site "Read Our Google Reviews" link) -&gt; https://www.google.com/maps/place/NEW+ERA+PLUMBING/@33.340096,-111.864222,10z/data=!4m6!3m5!1s0x872b07d6ccb0c98f:0x8077061535658794 (cid 9256874247243270036; pin at Chandler coordinates; listing not readable from this environment)</t>
        </is>
      </c>
      <c r="AW19" s="8" t="inlineStr">
        <is>
          <t>5.0 (site badge "5.0 Google Rating" via Trustindex; ServiceAgent and Lantern GBP mirrors both show 5.0; GBP not opened directly)</t>
        </is>
      </c>
      <c r="AX19" s="8" t="inlineStr">
        <is>
          <t>175 Google reviews per serviceagent.ai GBP mirror (undated); 165 per lantern.llc (listing updated 2026-04-21); on-site Trustindex widget shows 8 Google reviews dated 5-7 March 2025. GBP not opened directly.</t>
        </is>
      </c>
      <c r="AY19" s="8" t="inlineStr">
        <is>
          <t>2022 per site ("founded in 2022 by Joshua (Josh) McCaughty"; "Locally owned and operated out of Mesa, AZ since 2022") = ~4 years. ACC formation date not visible (OpenCorporates login wall). Domain neweraplumbingaz.com registered 2025-02-24 (Verisign RDAP). Entity previously named "Plumbing Kings LLC" (OpenCorporates) — rebrand date not found.</t>
        </is>
      </c>
      <c r="AZ19" s="8" t="inlineStr">
        <is>
          <t>1-5 (site: "the same small crew handles the work", "Josh holds the license and runs the jobs personally", "Josh or a team member answers"; no staff named anywhere; no LinkedIn company page found)</t>
        </is>
      </c>
      <c r="BA19" s="8" t="inlineStr">
        <is>
          <t>1 (single GBP pin; single AZ entity; site lists one address; service area Mesa, Chandler, Gilbert, Tempe, Scottsdale, Queen Creek)</t>
        </is>
      </c>
      <c r="BB19" s="8" t="inlineStr">
        <is>
          <t>"28+ services": emergency plumbing, water heater repair/replacement, tankless water heater install, water heater flush, drain cleaning &amp; clog removal, hydro jetting, trenchless sewer repair, sewer line service, whole-house repiping, gas lines, leak detection, water treatment/softeners, emergency water damage &amp; restoration, residential + commercial (https://neweraplumbingaz.com/ and About page "What we handle")</t>
        </is>
      </c>
      <c r="BC19" s="8" t="inlineStr">
        <is>
          <t>basic — SSL, Divi contact form with reCAPTCHA, GTM/gtag, Trustindex review widget, Google Workspace mail; no booking, chat, text, financing, or call tracking; GBP messaging status unknown</t>
        </is>
      </c>
      <c r="BD19" s="8" t="inlineStr">
        <is>
          <t>agency_managed (light) — footer credit "Web design &amp; SEO by Shared Graphics" (one-founder remote shop), Rank Math SEO, GTM; no paid media verified, no blog activity seen (post-sitemap lastmod 2026-04-22), social accounts dormant/empty</t>
        </is>
      </c>
      <c r="BE19" s="8" t="inlineStr">
        <is>
          <t>establishing — founded 2022 (~4 yrs), 165-175 Google reviews at 5.0, new brand + new site in 2025-2026, small crew, no hiring posts found</t>
        </is>
      </c>
      <c r="BF19" s="8" t="inlineStr">
        <is>
          <t>unknown — GBP not readable from this environment; site claims "Read our reviews on here, or on our Google Business Profile. We answer every one." (About page) — unverified</t>
        </is>
      </c>
      <c r="BG19" s="8" t="inlineStr">
        <is>
          <t>claims_24_7 — own staff: site says a real person (the owner) answers 24/7/365: "Call (480) 440-6730 any time — you'll reach a real person, not an answering service" (homepage FAQ); "you will reach a person, not a recording or an overnight answering service" (About). No answering-service, call-center, or AI-receptionist vendor in page source. No review evidence either way on after-hours experience (GBP not readable). The after-hours promise rests on a one-crew owner-operator.</t>
        </is>
      </c>
      <c r="BH19" s="8" t="inlineStr">
        <is>
          <t>None. "SCHEDULE SERVICE" / "GET A FREE QUOTE" / "Request Service" buttons all link to the on-page Divi contact form (#contactformhome) with Google reCAPTCHA; no scheduling vendor in source (checked servicetitan, housecallpro, jobber, calendly, acuity, leadconnector/gohighlevel, hubspot — all 0 hits). Form promise is only "we will get back to you fast" / "we will reach out to get you scheduled" — no response-time commitment or auto-confirmation visible.</t>
        </is>
      </c>
      <c r="BI19" s="8" t="inlineStr">
        <is>
          <t>None. No chat or text-us widget (checked tidio, intercom, drift, tawk, livechat, podium, birdeye, textline, weave — 0 hits). Only third-party scripts: Google Tag Manager/gtag, Trustindex review widget, reCAPTCHA.</t>
        </is>
      </c>
      <c r="BJ19" s="8" t="inlineStr">
        <is>
          <t>WordPress 7.1.3 + Divi theme; Rank Math SEO; W3 Total Cache; Google Tag Manager + gtag (no fbq/Meta pixel, no CallRail/CTM/WhatConverts call tracking, no Hotjar); Trustindex Google-review widget; Google reCAPTCHA on contact form; Google Workspace mail (MX smtp.google.com); GoDaddy registrar; footer credit "Web design &amp; SEO by Shared Graphics" (Murrieta, CA; one-founder shop — Rick Lowe — offering web design, local SEO and "AI search optimization (GEO/AEO)"; no call tracking, answering, or lead management per their site). Schema: Rank Math Person/Organization + WebSite + WebPage only — NO FAQPage, NO LocalBusiness/Plumber JSON-LD. robots.txt does not block AI crawlers.</t>
        </is>
      </c>
      <c r="BK19" s="8" t="inlineStr">
        <is>
          <t>Unknown — not verifiable from this environment: Google Ads Transparency Center returned an empty shell for domain neweraplumbingaz.com; Meta Ad Library returned 403; Google SERP/LSA unit blocked. On-site paid-media footprint is nil (no fbq, no call-tracking number swap, no gclid/UTM landing pages, no LSA badge). Treat as "no paid media found; first-agency opportunity on lead-gen" pending a manual check.</t>
        </is>
      </c>
      <c r="BL19" s="8" t="inlineStr">
        <is>
          <t>Not checked — Perplexity (403), ChatGPT (403) and Google AI Mode (access-blocked) were all unreachable from this environment, so no money question could be run on any platform. Pitch-relevant facts that were verifiable: site has FAQ content on the homepage ("Do you offer 24-hour emergency plumbing in Mesa, AZ?") but no FAQPage or LocalBusiness JSON-LD; incumbent web/SEO vendor Shared Graphics sells GEO/AEO, so any GEO pitch may collide with the incumbent. Recommended: run one money question ("emergency plumber near Mesa, AZ") before outreach to re-score D4.</t>
        </is>
      </c>
      <c r="BM19" s="8" t="inlineStr">
        <is>
          <t>PASS. Chain/franchise: no (independent AZ domestic LLC #23482518, Active; CHAIN_HINTS regex no match; one Maps pin; no parent/'a X company' language). Website: own domain, HTTP 200, WordPress, copyright 2026, modified Aug-Sep 2026. Live US business: ACC status Active; GBP mirrors show open 24 hours; reviews accumulating in 2025-2026; phone on site + GBP. Inbound channel: phone-first + contact form. Competitor/non-buyer: no (residential plumbing). Already automated: no AI receptionist or answering service in source or copy (site says owner answers live). E4L world: not in suppression.csv (1,160 rows) or seen.csv; not in geo/audits/ or the demo-pool folder list; no 'no solicitation' notice on site. NOTE: GHL 'E4L Services' dedupe (ghl-contacts.js) not run by this agent (no login) — harness step.</t>
        </is>
      </c>
      <c r="BN19" s="8" t="inlineStr">
        <is>
          <t>D1 Decision-maker: 8/20 — full name + role cited on business-controlled site ("founded in 2022 by Joshua (Josh) McCaughty", https://neweraplumbingaz.com/about-new-era-plumbing-mesa-az/) and corroborated by the AZ Corporation Commission record (statutory agent "Joshua Cameron Mcaughty" at the registered address, https://opencorporates.com/companies/us_az/23482518), but the only channel is a role mailbox (management@) + the main line; no personal email, LinkedIn, or direct line -&gt; call-first / DEMO PATH. | D2 Phone gap: 9/15 — phone-first (CALL (480) 440-6730 is the primary CTA; 32 tel: links; "Emergency Line") in an inherently urgent niche; hours string "Open 24/7 – emergency service always available, including holidays" (site) / "Open 24 hours, Monday through Sunday" (GBP via serviceagent.ai); gap is structural (one-crew owner answers personally: "Josh or a team member answers") but the site explicitly claims live own-staff answering 24/7 and no contrary review was found, so the full 15 is not supportable and the strict-reading 0 is flagged for Rozel; Sam's "who answered" updates this. | D3 Leak evidence: 5/15 — exactly 1 signal type: booking/contact friction verified in page source (no scheduling, chat, or text vendor scripts; form promise "we will get back to you fast" with no turnaround or auto-reply). Nulls logged: no responsiveness complaints (on-site reviews praise speed; GBP unreadable; Yelp/BBB none), no front-office job posts (Indeed/ZipRecruiter/Glassdoor/Craigslist), reply rate unknown. | D4 AI visibility: 0/10 NO EVIDENCE — Perplexity, ChatGPT and Google AI Mode all blocked (403); not inferred. Schema check done: no FAQPage/LocalBusiness JSON-LD (https://neweraplumbingaz.com/ view-source). | D5 ICP/ability to pay: 15/15 — (a) independent, 1 location, named owner; (b) core plumbing niche; (c) proxies: since 2022 (site), 165-175 Google reviews (GBP mirrors), high-ticket menu (water heaters, trenchless sewer, whole-house repipe = plumbing $1.5-5k row), 6-city service area + 24/7 claim. Budget caution: 2022 one-crew shop. | D6 Buying signals: 11/15 — trigger 61-180 days: site rebuilt (homepage datePublished 2026-04-21, About titled "2026 About Us", sitemap lastmod 2026-09-16) plus spend group (d) agency credit Shared Graphics + GTM/gtag and (e) Trustindex tool; (a) Google Ads, (b) LSA, (c) Meta ads not verifiable (blocked) — logged; no CallRail/fbq. | D7 Attitude/stack: 6/10 — positives: modern 2026 site, growth posture (rebrand + new site + "everything to prove"); unverifiable: review replies, recent owner social posts; minor negative: site Instagram icon mislinked to a non-business handle; incumbent Shared Graphics is a one-founder web/SEO credit (no penalty) but sells GEO/AEO -&gt; lead with voice, not GEO. | TOTAL 54 = WATCH by total (35-54), status TRUSTED on the orchestrator's dedupe lists (6 of 7 dimensions evidenced, D1 positive, D2 direct hours string, D5 evidenced); blocker = D4 (tooling, not business). One AI money-question check showing the business unnamed moves D4 to 6-10 -&gt; 60-64 QUALIFIED.</t>
        </is>
      </c>
      <c r="BO19" s="8" t="inlineStr">
        <is>
          <t>https://neweraplumbingaz.com/about-new-era-plumbing-mesa-az/, https://neweraplumbingaz.com/, https://opencorporates.com/companies/us_az/23482518, https://serviceagent.ai/directory/arizona/chandler/plumbing/new-era-plumbing/, https://maps.app.goo.gl/RQuhMnhtRhFjkCjq5, https://rdap.verisign.com/com/v1/domain/neweraplumbingaz.com, https://dns.google/resolve?name=neweraplumbingaz.com&amp;type=MX, https://neweraplumbingaz.com/sitemap_index.xml, https://neweraplumbingaz.com/robots.txt, https://sharedgraphics.com/, https://www.youtube.com/@NewEraPlumbingLLC/about, https://lantern.llc/b/new-era-plumbing-chandler (now 404; "Joshua Mena"/165 reviews/updated 2026-04-21 seen only in search snippets), https://www.bbb.org/search?find_country=USA&amp;find_text=New+Era+Plumbing&amp;find_loc=Chandler%2C+AZ (no results), https://adstransparency.google.com/?region=US&amp;domain=neweraplumbingaz.com (empty shell), https://www.facebook.com/share/1JwkdG4ESq/ (400), https://x.com/neweraplumbing (402)</t>
        </is>
      </c>
      <c r="BP19" s="8" t="inlineStr">
        <is>
          <t>Medium</t>
        </is>
      </c>
      <c r="BQ19" s="8" t="inlineStr">
        <is>
          <t>Title detail: Owner / Founder (site: "founded in 2022 by Joshua (Josh) McCaughty", "Josh McCaughty — the owner", "Josh holds the license and runs the jobs personally"; ACC record: statutory agent at the registered address; officer names behind OpenCorporates login wall). Verified in batch 1 research (2026-10-12), delivered today. 1) NAME: site spells "McCaughty"; the AZ Corporation Commission statutory-agent record spells "Joshua Cameron Mcaughty"; the AI directory's "Joshua Mena" is an error (the "Mena" surname appears only as an on-site reviewer, Phil Mena). Use "Josh" in subject/opener; spell "McCaughty" per his site. 2) ADDRESS: site = Mesa suite (1660 S Alma School Rd Ste 226); ACC + GBP = Chandler (1317 W Palomino Dr). Brand him as Mesa in copy. 3) ROUTE: call-first / DEMO PATH — no personal email; management@ is a role box but in a one-owner shop it is effectively his; email can go there as a follow-up to Sam's call. 4) D4 is the blocker: run one money question ("emergency plumber near Mesa, AZ") on any platform and re-score; 54 -&gt; 60-64 QUALIFIED if unnamed. 5) Incumbent: Shared Graphics (web + SEO; sells GEO/AEO) — lead with voice, keep GEO for later; no call tracking or answering vendor to displace. 6) ROC license not verified (portal unreachable); he claims "Josh holds the license" — don't cite a number. 7) He says "We answer every one" of his reviews — do not imply he ignores anything; frame as "the second call". 8) Budget risk: founded 2022, "small crew" — Recover may be heavy; solo voice agent is the fallback. 9) Faith statement is a brand-level line on his About page — do not lead with it. 10) GHL dedupe (ghl-contacts.js) was not run by this agent; suppression.csv and seen.csv are clear. 11) Blocked sources this run: Google Maps listing, Perplexity/ChatGPT/Google AI Mode, Meta Ad Library, Google Ads Transparency (empty shell), Wayback, X, Facebook share link, AZ ROC — none of these were inferred.</t>
        </is>
      </c>
      <c r="BR19" s="10" t="inlineStr"/>
      <c r="BS19" s="10" t="inlineStr"/>
      <c r="BT19" s="10" t="inlineStr"/>
    </row>
    <row r="20" ht="120" customHeight="1">
      <c r="A20" s="8" t="inlineStr">
        <is>
          <t>20261013-19</t>
        </is>
      </c>
      <c r="B20" s="8" t="inlineStr">
        <is>
          <t>2026-10-13</t>
        </is>
      </c>
      <c r="C20" s="8" t="n">
        <v>2</v>
      </c>
      <c r="D20" s="10" t="inlineStr"/>
      <c r="E20" s="10" t="inlineStr">
        <is>
          <t>New</t>
        </is>
      </c>
      <c r="F20" s="8" t="n">
        <v>53</v>
      </c>
      <c r="G20" s="8">
        <f>IF(F20="","",IF(F20&gt;=80,"A — send today",IF(F20&gt;=60,"B — worth a touch",IF(F20&gt;=40,"C — hold","D — reject"))))</f>
        <v/>
      </c>
      <c r="H20" s="8" t="inlineStr">
        <is>
          <t>TrueBright Electric</t>
        </is>
      </c>
      <c r="I20" s="8" t="inlineStr">
        <is>
          <t>Roman</t>
        </is>
      </c>
      <c r="J20" s="8" t="inlineStr">
        <is>
          <t>Scarlato</t>
        </is>
      </c>
      <c r="K20" s="8" t="inlineStr">
        <is>
          <t>President</t>
        </is>
      </c>
      <c r="L20" s="8" t="inlineStr">
        <is>
          <t>hello@truebrightfl.com</t>
        </is>
      </c>
      <c r="M20" s="8" t="inlineStr">
        <is>
          <t>Generic (info@/office@)</t>
        </is>
      </c>
      <c r="N20" s="8" t="inlineStr">
        <is>
          <t>Confirmed</t>
        </is>
      </c>
      <c r="O20" s="8" t="inlineStr">
        <is>
          <t>Not found (one number only, +1 407-203-8999, which the site also calls the emergency line)</t>
        </is>
      </c>
      <c r="P20" s="8" t="inlineStr">
        <is>
          <t>+1 407-203-8999 (only number anywhere: site header/hero/floating Call Now bar/footer, 7 tel: links all +14072038999; BBB lists the same)</t>
        </is>
      </c>
      <c r="Q20" s="8" t="inlineStr">
        <is>
          <t>Electrical</t>
        </is>
      </c>
      <c r="R20" s="8" t="inlineStr">
        <is>
          <t>core</t>
        </is>
      </c>
      <c r="S20" s="8" t="inlineStr">
        <is>
          <t>Orlando</t>
        </is>
      </c>
      <c r="T20" s="8" t="inlineStr">
        <is>
          <t>FL</t>
        </is>
      </c>
      <c r="U20" s="8" t="inlineStr">
        <is>
          <t>They are mid-investment: new domain (Jun 1, 2026), new site and blog (Jul–Sep 2026), BBB accreditation (Jul 21, 2026), three electrician openings, 32 new service-area pages — all funneling into a single phone line with no office hire. Hurricane season runs through Nov 30 and their site sells generators on it ("Hurricane season doesn't negotiate"), so after-hours and weekend inquiry volume is seasonal-high right now. The rebrand also opens a discoverability window: Expertise.com still lists "ACDC Statewide Electric" as of Oct 11, 2026, so AI answers and directories may not yet connect "TrueBright" to their 14-year reputation — a timely reason to run the free audit before the old name decays.</t>
        </is>
      </c>
      <c r="V20" s="8" t="inlineStr">
        <is>
          <t>Growth-Minded Operator (secondary cues: Tech-Forward — SMS confirmations, custom site/back-office, schema; and Family-run pride)</t>
        </is>
      </c>
      <c r="W20" s="8" t="inlineStr">
        <is>
          <t>Voice AI live demo built from truebrightfl.com (after-hours/overflow receptionist that triages "sparking / burning smell" as urgent, books panel/EV/generator estimates) + missed-call text-back (they already text customers, so the habit exists). Secondary door-opener: free AI Search Visibility audit framed around the rebrand — do ChatGPT/Perplexity recommend "TrueBright" or still "ACDC Statewide"? Do NOT pitch a website (new STAK site, Jul 2026).</t>
        </is>
      </c>
      <c r="X20" s="8" t="inlineStr">
        <is>
          <t>Recover</t>
        </is>
      </c>
      <c r="Y20" s="8" t="inlineStr">
        <is>
          <t>TrueBright after 6 PM</t>
        </is>
      </c>
      <c r="Z20" s="8" t="inlineStr">
        <is>
          <t>Noticed the ACDC-to-TrueBright rebrand this summer — new site, BBB accreditation in July, and a contact page that promises "Talk to a real human" Mon–Fri 7 to 6.</t>
        </is>
      </c>
      <c r="AA20" s="8" t="inlineStr">
        <is>
          <t>Relief + protect the promise, not growth hype. Facts the angle rests on: one number for everything including the "emergency line"; hours 7–6 weekdays; quote requests wait "one business day"; hiring three electricians and zero office staff; "Roman and his crew" = the owner's truck is the front desk. Pitch: we built a demo receptionist from your own site — it only takes the calls that already roll to voicemail after 6, on weekends, or while you're on a ladder, triages the sparking-outlet calls, books the $2k–$15k panel/EV/generator estimates, and texts back every missed call in under a minute. Go-live is one conditional call-forwarding rule for missed/busy calls; the "real human" still answers during hours. Second hook if they bite: the rebrand means AI assistants and directories may still say ACDC — we'll run the free audit and show who gets named for "emergency electrician near Orlando". Close on the Game Plan Call or the demo number.</t>
        </is>
      </c>
      <c r="AB20" s="8" t="inlineStr">
        <is>
          <t>"We answer our own phones / we have an emergency line" (the site brags "one who answers the phone" and "Talk to a real human"). Response: agree and narrow it — this only catches calls that already go unanswered after 6 PM, on weekends, or when the crew is on a job, and the quote forms that currently wait a business day; nothing changes during hours. Second likely objection: "We just paid for the new site and we're busy hiring" — nothing to build on their side; the demo is already made from their site, go-live is one forwarding rule, rollback is one dial code. Possible price sensitivity (electrical playbook: smallest teams, price-sensitive) — no numbers on the call; pricing on the Game Plan Call.</t>
        </is>
      </c>
      <c r="AC20" s="8" t="inlineStr">
        <is>
          <t>"Hi, is this Roman? Roman, it's Sam with Eat 4 Life Marketing — full disclosure, this is a cold call, so hang up if you need to. I'll be quick. I was on the new TrueBright site — congrats on the rebrand. One thing jumped out: it's one number for everything, hours seven to six, and the emergency line is that same phone. We built a demo receptionist from your own website that picks up when you and the crew are on a job or it's nine on a Saturday, triages the sparking-outlet calls, books the panel and EV estimates, and texts back anything that gets missed. Can I take twenty seconds to tell you how to hear it, and you tell me if it's worth a real conversation?"</t>
        </is>
      </c>
      <c r="AD20" s="8" t="inlineStr">
        <is>
          <t>Tue–Thu 8:00–8:30 AM ET — Florida's telemarketing floor is 8 AM, so do not dial at the 7 AM open; crews are being dispatched and the owner of a father-and-son shop is most likely still at the office line before heading out. Backup: Tue–Thu 4:30–5:45 PM ET, before the 6 PM close when techs are wrapping and the phone is quieter. Avoid Monday mornings (dispatch pile-up) and Friday afternoons. Never after 8 PM ET (FL rule).</t>
        </is>
      </c>
      <c r="AE20" s="8" t="inlineStr">
        <is>
          <t>Mon–Fri 7:00 AM–6:00 PM, "emergency line available" (site contact page: "Mon–Fri 7AM–6PM · emergency line available"). Google Business Profile hours not readable this run — confirm on GBP before the call.</t>
        </is>
      </c>
      <c r="AF20" s="8" t="inlineStr">
        <is>
          <t>America/New_York (Eastern Time; Orlando, FL)</t>
        </is>
      </c>
      <c r="AG20" s="8" t="inlineStr">
        <is>
          <t>No office manager, dispatcher, or CSR is named anywhere (site, careers page, BBB) and the careers page lists only electrician roles, so the main line (+1 407-203-8999) is most likely answered by Roman, the other family partner (Expertise.com: "father-and-son team" — name not found), or a tech from a truck. Contact page says "Talk to a real human." Ask for Roman by name ("Is Roman around?"); if a tech answers, ask when Roman is back at the shop and whether early morning or late afternoon is better. No owner cell published. hello@truebrightfl.com is the only mailbox (Microsoft 365). Florida: manual human dial only, 8 AM–8 PM ET; no texting (no consent). BBB lists Roman A. Scarlato as President — use the full name if asked who you're calling for.</t>
        </is>
      </c>
      <c r="AH20" s="8" t="inlineStr">
        <is>
          <t>"Congrats on the TrueBright launch — new site live since July, BBB-accredited July 21, and a 'Talk to a real human' promise right on the contact page." Why: dated, positive, 84–92 days old, verifiable in 30 seconds at https://www.truebrightfl.com/contact and https://www.bbb.org/us/fl/orlando/profile/electrical-contractors/truebright-electric-0733-90199843.</t>
        </is>
      </c>
      <c r="AI20" s="8" t="inlineStr">
        <is>
          <t>(1) One phone number carries everything, including emergencies: "Mon–Fri 7AM–6PM · emergency line available" / "Emergency? Call (407) 203-8999 for fastest response." / "Emergencies are prioritized ahead of scheduled work." — https://www.truebrightfl.com/contact. (2) Quote requests wait on a callback: "No-obligation estimate. We'll follow up within one business day." and phone field "Required for callback only" — https://www.truebrightfl.com/contact. (3) Zero office staff: careers page lists only Master, Journeyman and Apprentice Electrician; no CSR/dispatcher/office role; a customer review names "Roman and his crew" — so a tech or the owner is the receptionist — https://www.truebrightfl.com/careers, https://www.truebrightfl.com/about. (4) Brand promise they must keep after 6 PM and on weekends with no staffed line: "Talk to a real human" and "an electrician in Orlando you can actually reach, one who answers the phone" — https://www.truebrightfl.com/contact, https://www.truebrightfl.com/. (5) High-ticket inbound with no booking path: panel $1,800–$3,500, generator $12k–$18k, EV charger installs; no online scheduling, no chat — https://www.truebrightfl.com/. No review-based reachability complaints found (reviews not readable this run — logged null, not a clean "none").</t>
        </is>
      </c>
      <c r="AJ20" s="8" t="inlineStr">
        <is>
          <t>Rebrand + new site: truebrightfl.com registered 2026-06-01 (RDAP, 134 days ago); acdcstatewide.com now 308-redirects to it; new site © 2026 with blog live from 2026-07-13 and latest post 2026-09-24 (https://www.truebrightfl.com/blog). BBB accreditation 2026-07-21 (84 days ago), A+, 0 complaints. Hiring now: Master, Journeyman, Apprentice Electrician (live, undated) — https://www.truebrightfl.com/careers. New license number on the site (EC13014479) vs EC13005115 on Expertise.com's ACDC listing — DBPR lookup returned no record for EC13014479 via the GET form this run; verify manually, do not mention in outreach. Seasonal: hurricane season through Nov 30 and the site sells it ("Hurricane season doesn't negotiate" — generators). Directory lag: Expertise.com (updated Oct 11, 2026) still shows the old name/website — the new brand has a discoverability gap.</t>
        </is>
      </c>
      <c r="AK20" s="8" t="inlineStr">
        <is>
          <t>Signal 1 (website, careers): three live production job posts — Master Electrician, Journeyman Electrician, Apprentice Electrician, "We sponsor school and licensure" — https://www.truebrightfl.com/careers | Signal 2 (registry + website): rebrand to a new domain registered 2026-06-01 (RDAP) with a new Next.js site, © 2026, and a blog launched Jul 13, 2026 with posts through Sep 24, 2026 ("Is 100 Amp Service Enough for My House?") — https://www.truebrightfl.com/blog | Signal 3 (BBB): BBB Accredited since 2026-07-21, A+, 0 complaints — https://www.bbb.org/us/fl/orlando/profile/electrical-contractors/truebright-electric-0733-90199843 | Signal 4 (website): tech adoption — customer SMS program ("we confirm your arrival window by text along with your technician's name"), "Team Login" staff portal, robots.txt disallowing /dashboard /customers /contacts /projects (custom back-office), FAQPage + Electrician JSON-LD, newsletter signup — https://www.truebrightfl.com/sms-terms, https://www.truebrightfl.com/robots.txt | Signal 5 (website): Hispanic Chamber of Commerce member badge — https://www.truebrightfl.com/ | Contradicting/caution: "Talk to a real human" and "one who answers the phone" = human-first brand promise, so position voice AI as after-hours/overflow only. Review-reply tone and social cadence NOT observed (Google reviews, Facebook, Instagram unreadable this run). Confidence: medium (5 signals across 3 source categories, but no review/social read).</t>
        </is>
      </c>
      <c r="AL20" s="8" t="inlineStr">
        <is>
          <t>President of a family-run Orlando electrical contractor founded 2012-09-21 (BBB), formerly ACDC Statewide Electric, Inc. (acdcstatewide.com 308-redirects to truebrightfl.com; Expertise.com still lists the old name). Expertise.com: "helmed by a father-and-son team of contractors specializing in electrical work for residential and commercial clients." Site: "Built by an Orlando family, for Orlando"; "licensed master electricians." Prior career, trade school, military, interviews: Not found.</t>
        </is>
      </c>
      <c r="AM20" s="8" t="inlineStr">
        <is>
          <t>Plain-spoken, anti-hype, reliability-first. Verbatim site voice: "most electrical companies make this harder than it needs to be. Hidden fees, vague quotes, crews who don't show up. We started to be the opposite of that." (/about) | "Show Up / Tell The Truth / Do It Right" (/about values) | "Talk to a real human" (/contact header) | "No phone tag, no waiting around for a window that never comes." (home) | "a family-run shop with steady work, real benefits, and a crew that actually likes each other" (/careers). Brags about: upfront flat-rate pricing, written workmanship warranty, licensed master electricians, 4.9 on Google, "an electrician in Orlando you can actually reach, one who answers the phone." Mirror with short, direct, no-buzzword copy; do not lead with the word AI; frame as protecting the "real human" promise after hours.</t>
        </is>
      </c>
      <c r="AN20" s="8" t="inlineStr">
        <is>
          <t>Owner-operator</t>
        </is>
      </c>
      <c r="AO20" s="8" t="inlineStr">
        <is>
          <t>Not found (LinkedIn X-ray could not be run this session — web-search budget exhausted; linkedin.com/company/truebright-electric returns 404; no LinkedIn href on the site)</t>
        </is>
      </c>
      <c r="AP20" s="8" t="inlineStr">
        <is>
          <t>Owner personal: Not found. Company: https://www.facebook.com/truebrightfl/ and https://www.instagram.com/truebright.electric/ (both linked from the site footer; Facebook login-walled and Instagram rate-limited this run, so cadence/follower counts not observed). Member badge: Hispanic Chamber of Commerce (site footer link to hispanicchamber.com, aria-label "Member — Hispanic Chamber of Commerce").</t>
        </is>
      </c>
      <c r="AQ20" s="8" t="inlineStr">
        <is>
          <t>https://www.truebrightfl.com</t>
        </is>
      </c>
      <c r="AR20" s="8" t="inlineStr">
        <is>
          <t>hello@truebrightfl.com (Confirmed: on https://www.truebrightfl.com/contact and /careers; MX present via Microsoft 365 per dns.google)</t>
        </is>
      </c>
      <c r="AS20" s="8" t="inlineStr">
        <is>
          <t>5048 Tinkham Ave, Orlando, FL 32812 (site footer + Electrician JSON-LD; BBB shows Orlando, FL 32812-1547; the old ACDC listing on Expertise.com used PO Box 590752, Orlando 32859)</t>
        </is>
      </c>
      <c r="AT20" s="8" t="inlineStr">
        <is>
          <t>32812</t>
        </is>
      </c>
      <c r="AU20" s="8" t="inlineStr">
        <is>
          <t>Orange, Seminole and Osceola counties — 32 named communities: Orlando, Winter Park, Kissimmee, Altamonte Springs, Apopka, Sanford, Oviedo, Lake Mary, Winter Garden, Maitland, Ocoee, Casselberry, Clermont, Longwood, Windermere, Celebration, Dr. Phillips, College Park, Baldwin Park, St. Cloud, Lake Nona, Winter Springs, Waterford Lakes, Hunters Creek, Davenport, Conway, Mount Dora, Heathrow, Avalon Park, Champions Gate, Horizon West, Minneola (site /about + JSON-LD areaServed)</t>
        </is>
      </c>
      <c r="AV20" s="8" t="inlineStr">
        <is>
          <t>https://www.google.com/maps/place/?q=place_id:ChIJ13WuT2dj54gR3Er78ycheLs (place_id linked from the site; GBP content not readable this run)</t>
        </is>
      </c>
      <c r="AW20" s="8" t="inlineStr">
        <is>
          <t>4.9 (site badge "4.9★ Google Rated" / "Rated 4.9 out of 5 — based on 71 Google reviews"; not verified on GBP this run; Expertise.com shows Google 4.9 under the old ACDC name)</t>
        </is>
      </c>
      <c r="AX20" s="8" t="inlineStr">
        <is>
          <t>71 Google (site badge, Oct 2026); Expertise.com (updated Oct 11, 2026, old ACDC name): Google 38, Angi 101 (4.7), Facebook 8 (5.0)</t>
        </is>
      </c>
      <c r="AY20" s="8" t="inlineStr">
        <is>
          <t>2012-09-21 foundingDate per BBB structured data (~14 years); acdcstatewide.com registered 2013-04-26 (RDAP); Expertise.com copy says "seven years" (stale text). New brand/domain truebrightfl.com registered 2026-06-01 (RDAP).</t>
        </is>
      </c>
      <c r="AZ20" s="8" t="inlineStr">
        <is>
          <t>Not found as a number. Indicators only: "father-and-son team of contractors" (Expertise.com), customer review "Roman and his crew" (site), plural "Our master electricians ... drive marked trucks" (/about), hiring Master + Journeyman + Apprentice electricians now (/careers). BBB shows no employee count.</t>
        </is>
      </c>
      <c r="BA20" s="8" t="inlineStr">
        <is>
          <t>1 (5048 Tinkham Ave; single BBB profile; no locations/franchise page; 32 service-area pages, all one office)</t>
        </is>
      </c>
      <c r="BB20" s="8" t="inlineStr">
        <is>
          <t>Residential repairs &amp; installations; electrical panel replacement/upgrades; residential service upgrades; wiring &amp; rewiring; EV charger installation; residential + commercial generator installation and maintenance; GFCI installation; residential + commercial lighting; commercial repairs/upgrades/tenant build-outs; surge protection; code corrections; emergency repairs. Site-stated tickets: panel replacement $1,800–$3,500; whole-home generator $12,000–$18,000 (FAQ on homepage).</t>
        </is>
      </c>
      <c r="BC20" s="8" t="inlineStr">
        <is>
          <t>modern — SSL, custom Next.js site built by STAK with Firebase storage, GA4 (G-LT07W5PL2T), customer SMS confirmation program, staff "Team Login" portal, FAQPage + Electrician schema, newsletter; but no online booking, no chat, no text-us widget, no call tracking</t>
        </is>
      </c>
      <c r="BD20" s="8" t="inlineStr">
        <is>
          <t>agency_managed (web/content) — footer "Site powered by STAK" (mystak.co: custom software, websites, SEO, automation for small business); weekly-cadence 7-min-read blog posts Jul–Sep 2026 bylined "By TrueBright Electric"; GA4; newsletter. No paid-ads evidence found (Meta/Google Ads/LSA not checkable this run; no fbq pixel or CallRail in source).</t>
        </is>
      </c>
      <c r="BE20" s="8" t="inlineStr">
        <is>
          <t>established, moving to scaling — founded 2012 (BBB), 71 Google + 101 Angi reviews, hiring three electricians now, fresh rebrand + 32 service-area pages, commercial portfolio (Orlando Health building cath lab, Dollar Tree 600A service, 6-unit flex space)</t>
        </is>
      </c>
      <c r="BF20" s="8" t="inlineStr">
        <is>
          <t>unknown — Google review text/owner replies not readable this run (Maps page is JS-only; Yelp 403; Facebook login wall). Site shows curated reviews only, one praising responsiveness ("Excellent service and very responsive", Nextdoor).</t>
        </is>
      </c>
      <c r="BG20" s="8" t="inlineStr">
        <is>
          <t>hours_only with an unconfirmed emergency claim. Contact page: "Hours | Mon–Fri 7AM–6PM · emergency line available" and "Emergency? Call (407) 203-8999 for fastest response." — the "emergency line" is the same single main number. No mention of 24/7 answering, an answering service, a call center, or an AI receptionist anywhere in the page source of /, /contact, /about, /careers, /services. Quote form: "No-obligation estimate. We'll follow up within one business day." GBP hours not readable this run.</t>
        </is>
      </c>
      <c r="BH20" s="8" t="inlineStr">
        <is>
          <t>None. Two on-site forms only — "Request a Free Quote" (project type: Panel Upgrade / EV Charger / Lighting / New Construction / Commercial Build-Out) and "Submit a Service Request" (issue type incl. "Sparking / burning smell"; urgency "Emergency — ASAP / Today / Within 24 hrs / This week"). No scheduler vendor scripts (checked source for calendly, housecallpro, servicetitan, jobber, acuity, square, leadconnector: none).</t>
        </is>
      </c>
      <c r="BI20" s="8" t="inlineStr">
        <is>
          <t>None. No chat widget, no text-us button (no podium/birdeye/tidio/intercom/tawk/drift scripts). SMS program is outbound customer-care only, opt-in "by giving verbal consent to a TrueBright Electric representative" (/sms-terms); the form notes "Required for callback only — not for SMS program."</t>
        </is>
      </c>
      <c r="BJ20" s="8" t="inlineStr">
        <is>
          <t>STAK (mystak.co) — site builder/custom app ("Site powered by STAK"), Next.js + Firebase Storage; Google Analytics 4 gtag G-LT07W5PL2T; Microsoft 365 email (MX truebrightfl-com.mail.protection.outlook.com); BBB seal (Central Florida); Hispanic Chamber of Commerce badge; Angi listing under old name (101 reviews). Not present: CallRail/CTM, Meta pixel, Podium/Birdeye, ServiceTitan/Housecall Pro/Jobber, any chat/booking widget, any answering-service or AI-receptionist script.</t>
        </is>
      </c>
      <c r="BK20" s="8" t="inlineStr">
        <is>
          <t>Not checked this run — Meta Ad Library returned 403, Google Ads Transparency returned 429, LSA/Sponsored units not checkable (web-search budget exhausted). Weak negative from source: no fbq pixel, no gclid/UTM landing pages, no call-tracking swap. Logged null, not a confirmed "no ads".</t>
        </is>
      </c>
      <c r="BL20" s="8" t="inlineStr">
        <is>
          <t>not checked — Perplexity 403 (Cloudflare), ChatGPT/Gemini login-walled, web-search budget exhausted. D4 scored 0 NO EVIDENCE. Note for the audit: site already carries FAQPage + Electrician JSON-LD (5 FAQs incl. panel and generator cost), and the brand just changed (Expertise.com still lists "ACDC Statewide Electric, Inc." as of Oct 11, 2026), so the audit question is whether AI answers know "TrueBright" at all. Suggested money questions: "emergency electrician near Orlando, FL", "electrician that answers the phone Orlando, FL".</t>
        </is>
      </c>
      <c r="BM20" s="8" t="inlineStr">
        <is>
          <t>PASS. Chain/franchise/PE: none — family-run, 1 location, no franchise/locations page, no parent entity language (site, BBB). Website: own domain, HTTP 200, SSL, © 2026. Live US business: Orlando FL, BBB accredited 2026-07-21, blog post 2026-09-24, active hiring. Inbound channel: phone + two forms. Competitor/non-buyer: no — residential + commercial electrical contractor. Already automated on both fronts: no — no AI receptionist/answering service in page source; AI answers not checked. Suppression: grep of suppression.csv and seen.csv for truebright/acdc/scarlato/407-203-8999 = 0 hits. Not verifiable this run: Sunbiz entity status (403) and DBPR license EC13014479 (no record via GET form) — flag for manual check, not a disqualifier.</t>
        </is>
      </c>
      <c r="BN20" s="8" t="inlineStr">
        <is>
          <t>D1 Decision-maker reachable: 8/20 — Roman A. Scarlato, President, cited from BBB principal contacts (https://www.bbb.org/us/fl/orlando/profile/electrical-contractors/truebright-electric-0733-90199843); first name corroborated by site testimonial "Roman and his crew" (https://www.truebrightfl.com/about); contact is a generic monitored mailbox hello@truebrightfl.com (https://www.truebrightfl.com/contact, MX present); no direct line, no LinkedIn found (X-ray not run: search budget exhausted) → call-first route. | D2 Phone-coverage gap: 9/15 — phone-first (number in header, hero "Call (407) 203-8999", floating Call Now bar, 7 tel: links) with gap proofs (a) site hours "Mon–Fri 7AM–6PM" (closed evenings + both weekend days) while advertising "Emergency Repairs" and "same-day for urgent issues", and (b) "We'll follow up within one business day"; held at 9 not 15 because the site states "emergency line available" (after-hours line mentioned, not confirmed 24/7, same single number) and GBP hours were not readable this run (https://www.truebrightfl.com/contact). | D3 Lead-response leak: 0/15 — logged null: page source has no booking/chat/text vendor but the quote form carries a response-time promise ("within one business day"), so friction signal (5) does not fire; job posts are production roles only (no CSR/dispatcher); Google/Yelp/Angi/Facebook review text and owner reply rate NOT readable this run (JS/403/login) — re-check when reviews are accessible. | D4 AI search visibility: 0/10 NO EVIDENCE — no platform checkable (Perplexity 403, ChatGPT/Gemini login, search budget exhausted); site already has FAQPage + Electrician JSON-LD (https://www.truebrightfl.com/); one platform check with the business unnamed would set D4 = 6. | D5 ICP fit / ability to pay: 15/15 — (a) family-run, 1 location, named President, no parent/franchise language; (b) electrical = CORE niche; (c) proxies: founded 2012-09-21 (BBB), 71 Google reviews (site) + 101 Angi (Expertise.com), 3-county service area (Orange/Seminole/Osceola), site-stated tickets panel $1,800–$3,500 and generator $12k–$18k, hiring 3 electricians, "marked trucks" (https://www.truebrightfl.com/about). | D6 Buying signals: 11/15 — dated trigger 61–180 days old: rebrand/new site (domain 2026-06-01 per https://rdap.verisign.com/com/v1/domain/truebrightfl.com; blog from 2026-07-13; BBB accredited 2026-07-21) plus spend group (d) agency credit STAK + GA4 gtag; (a) Google Ads not checked, (b) LSA not checked, (c) Meta Ad Library 403, (e) Angi listing present (paid status unknown), BBB accreditation + Hispanic Chamber membership (paid memberships, not lead-gen). | D7 Owner attitude / stack: 10/10 — positives (b) modern © 2026 site, (c) tech adoption (SMS confirmations, Team Login portal, schema, newsletter), (e) growth posture (hiring 3, rebrand, BBB accreditation, chamber badge); no negatives observed; incumbent STAK is a custom web-dev shop, not a bundled vertical agency → no conflict; review replies/social not observed. | TOTAL 53/100 → band WATCH (35–54), status TRUSTED (6 of 7 dimensions carry evidence or a logged null; D1 positive citation; D2 direct quoted hours string; D5 evidence). Blockers: D4 (no AI platform reachable) and D3 (reviews unreadable). Minimum-evidence rule applied: D4 not inferred from schema or rankings. One GEO money-question check on any platform where TrueBright is unnamed lifts the row to 59 = QUALIFIED; a single quoted reachability review or owner reply-rate read could add 5–10 more.</t>
        </is>
      </c>
      <c r="BO20" s="8" t="inlineStr">
        <is>
          <t>https://www.truebrightfl.com/contact, https://www.bbb.org/us/fl/orlando/profile/electrical-contractors/truebright-electric-0733-90199843, https://www.truebrightfl.com/, https://www.truebrightfl.com/about, https://www.truebrightfl.com/careers, https://www.truebrightfl.com/blog, https://www.expertise.com/fl/orlando/electricians, https://www.acdcstatewide.com/, https://rdap.verisign.com/com/v1/domain/truebrightfl.com, https://rdap.verisign.com/com/v1/domain/acdcstatewide.com, https://www.truebrightfl.com/sms-terms, https://www.truebrightfl.com/robots.txt, https://www.truebrightfl.com/sitemap.xml, https://www.mystak.co, https://dns.google/resolve?name=truebrightfl.com&amp;type=MX, https://www.google.com/maps/place/?q=place_id:ChIJ13WuT2dj54gR3Er78ycheLs, https://www.facebook.com/truebrightfl/, https://www.instagram.com/truebright.electric/, https://www.myfloridalicense.com/wl11.asp?mode=2&amp;search=LicNbr&amp;SID=&amp;brd=&amp;typ=&amp;lic=EC13014479</t>
        </is>
      </c>
      <c r="BP20" s="8" t="inlineStr">
        <is>
          <t>Medium</t>
        </is>
      </c>
      <c r="BQ20" s="8" t="inlineStr">
        <is>
          <t>Title detail: President (BBB "Business Management: Roman A. Scarlato, President"). Legal entity note: formerly ACDC Statewide Electric, Inc.. Verified in batch 1 research (2026-10-12), delivered today. Score 53 = top of WATCH, status TRUSTED. Two blockers are access, not fit: D4 (Perplexity/ChatGPT/Gemini all unreachable this run) and D3 (Google/Yelp/Angi reviews unreadable). One GEO money question on any platform where TrueBright is unnamed → D4 = 6 → 59 QUALIFIED; recommend running geo/src/audit.js on truebrightfl.com and a quick GBP review read before Sam dials. Route: call-first (D1 = 8, generic mailbox only); if emailing hello@, keep it gatekeeper-friendly and name Roman. Positioning: human-first — they brag about answering the phone, so sell after-hours/overflow coverage and missed-call text-back (they already run a customer SMS program, so texting fits). Do not pitch a website: STAK built the new site in Jul 2026. Verify before any license talk: site shows EC13014479, Expertise's ACDC listing shows EC13005115, and the DBPR GET lookup returned no record this run — never mention this in outreach. Sunbiz was Cloudflare-blocked, so the legal entity name/status is unverified; dedupe against the GHL "E4L Services" sub-account was not run from this subagent — run ghl-contacts.js by domain/phone before loading. Second decision-maker exists (family partner) but is unnamed. Hurricane-season generator demand is the seasonal hook through Nov 30. Not on suppression.csv or seen.csv (grep truebright/acdc/scarlato/407-203-8999 = 0 hits).</t>
        </is>
      </c>
      <c r="BR20" s="10" t="inlineStr"/>
      <c r="BS20" s="10" t="inlineStr"/>
      <c r="BT20" s="10" t="inlineStr"/>
    </row>
    <row r="21" ht="120" customHeight="1">
      <c r="A21" s="8" t="inlineStr">
        <is>
          <t>20261013-20</t>
        </is>
      </c>
      <c r="B21" s="8" t="inlineStr">
        <is>
          <t>2026-10-13</t>
        </is>
      </c>
      <c r="C21" s="8" t="n">
        <v>2</v>
      </c>
      <c r="D21" s="10" t="inlineStr"/>
      <c r="E21" s="10" t="inlineStr">
        <is>
          <t>New</t>
        </is>
      </c>
      <c r="F21" s="8" t="n">
        <v>52</v>
      </c>
      <c r="G21" s="8">
        <f>IF(F21="","",IF(F21&gt;=80,"A — send today",IF(F21&gt;=60,"B — worth a touch",IF(F21&gt;=40,"C — hold","D — reject"))))</f>
        <v/>
      </c>
      <c r="H21" s="8" t="inlineStr">
        <is>
          <t>Jones Heating &amp; Air Conditioning Inc</t>
        </is>
      </c>
      <c r="I21" s="8" t="inlineStr">
        <is>
          <t>Lamar</t>
        </is>
      </c>
      <c r="J21" s="8" t="inlineStr">
        <is>
          <t>Jones</t>
        </is>
      </c>
      <c r="K21" s="8" t="inlineStr">
        <is>
          <t>Owner</t>
        </is>
      </c>
      <c r="L21" s="8" t="inlineStr">
        <is>
          <t>dionj7@gmail.com (the only published email; company contact inbox on the site, free-mail, NOT attributed to Lamar Jones or any named person - do not address it to a name)</t>
        </is>
      </c>
      <c r="M21" s="8" t="inlineStr">
        <is>
          <t>Generic (info@/office@)</t>
        </is>
      </c>
      <c r="N21" s="8" t="inlineStr">
        <is>
          <t>Confirmed</t>
        </is>
      </c>
      <c r="O21" s="8" t="inlineStr">
        <is>
          <t>Not found</t>
        </is>
      </c>
      <c r="P21" s="8" t="inlineStr">
        <is>
          <t>+1 801-972-8557</t>
        </is>
      </c>
      <c r="Q21" s="8" t="inlineStr">
        <is>
          <t>HVAC</t>
        </is>
      </c>
      <c r="R21" s="8" t="inlineStr">
        <is>
          <t>core</t>
        </is>
      </c>
      <c r="S21" s="8" t="inlineStr">
        <is>
          <t>West Valley City</t>
        </is>
      </c>
      <c r="T21" s="8" t="inlineStr">
        <is>
          <t>UT</t>
        </is>
      </c>
      <c r="U21" s="8" t="inlineStr">
        <is>
          <t>Heating season is opening in the Salt Lake Valley this month and Jones's own content is built for it (blog "No Heat? Discover Solutions for Your Heater Not Working", Oct 2025; furnace tune-up post Feb 2026), while the site still routes every after-hours emergency to a closed office (Mon-Fri 8-5:30 only). The site was touched as recently as 2026-10-06 (contact page), so someone is actively maintaining it - a receptive moment to add after-hours coverage before the first freeze calls start.</t>
        </is>
      </c>
      <c r="V21" s="8" t="inlineStr">
        <is>
          <t>Family-Legacy Pride Brand</t>
        </is>
      </c>
      <c r="W21" s="8" t="inlineStr">
        <is>
          <t>Voice AI live demo line built from jonesheatingandac.com (demo_build = yes: D2 = 15, site scrapable), positioned as after-hours/holiday/overflow coverage trained on the three-generation story; pair with missed-call text-back. Run one GEO money question first to unblock D4 and re-score.</t>
        </is>
      </c>
      <c r="X21" s="8" t="inlineStr">
        <is>
          <t>Recover</t>
        </is>
      </c>
      <c r="Y21" s="8" t="inlineStr">
        <is>
          <t>Who picks up for Jones after 5:30?</t>
        </is>
      </c>
      <c r="Z21" s="8" t="inlineStr">
        <is>
          <t>Your site promises emergency repairs even on holidays, but the posted hours stop at 5:30 Friday - so I got curious where a Saturday no-heat call lands right now.</t>
        </is>
      </c>
      <c r="AA21" s="8" t="inlineStr">
        <is>
          <t>Family-Legacy + after-hours gap, seasonal urgency. Respect the three generations and 58 years first, then the plain observation: the site promises emergency repairs even on holidays while hours show closed nights and weekends, and their own customers describe waiting for the first big storm to find the furnace down - those are the calls that ring after 5:30. Frame the voice agent as protection of the name: a receptionist trained on Jones's own story that answers only the calls they already miss, books the visit, and texts back every missed call; a human still answers when they can. Proof lever: the demo line they can call before paying a dollar. Go-live is one conditional call-forwarding rule, rollback is one dial code. Lead with missed calls, not "AI".</t>
        </is>
      </c>
      <c r="AB21" s="8" t="inlineStr">
        <is>
          <t>"We're a family shop - Jeff and I answer the phone ourselves and our customers want a real person, not a robot." Answer: agree, keep it that way; this only picks up what already goes to voicemail after 5:30, on weekends, and when both of you are under a furnace; it is trained on your own site so callers hear Jones, and you can hear it yourself on the demo line before deciding. Secondary: "We're busy enough in winter" - position as capturing the after-hours emergencies that otherwise go to the next name on Google, plus maintenance-plan renewals.</t>
        </is>
      </c>
      <c r="AC21" s="8" t="inlineStr">
        <is>
          <t>"Hi, is this Lamar? Lamar, this is Sam with Eat 4 Life Marketing - this is a cold call, so feel free to hang up, but give me twenty seconds. I was on your site - three generations, 58 years on 3300 South - and it says you do emergency repairs even on holidays, but the hours show closed nights and weekends. So when a no-heat call comes in Saturday night, who picks up right now - you, voicemail, or nobody? We built a demo line trained on your own website that answers those calls and books the visit, and you can call it before you spend a dollar. Can I take twenty seconds to tell you how it works, and you decide if it's worth a look?"</t>
        </is>
      </c>
      <c r="AD21" s="8" t="inlineStr">
        <is>
          <t>Tue-Thu 8:00-8:40 AM MT, right at open before trucks roll: reviews on the site place Lamar and Jeff in the field during the day ("Jeff and Lamar got to me promptly", "Called Jeff late afternoon. He was at my place the next morning"), so mid-day calls likely reach a phone in a truck. Second window: 4:30-5:25 PM MT before the 5:30 close. Never after 5:30 PM or weekends (closed).</t>
        </is>
      </c>
      <c r="AE21" s="8" t="inlineStr">
        <is>
          <t>Mon-Fri 8:00 AM - 5:30 PM; Sat-Sun Closed (site footer on every page: "Mon - Fri: 8:00 AM - 5:30 PM Sat - Sun: Closed"; GBP mirror shows the same)</t>
        </is>
      </c>
      <c r="AF21" s="8" t="inlineStr">
        <is>
          <t>America/Denver (Mountain Time)</t>
        </is>
      </c>
      <c r="AG21" s="8" t="inlineStr">
        <is>
          <t>No office manager, dispatcher, or receptionist is named anywhere public (site, BBB, reviews). Reviews indicate the line is answered by the people doing the work: "spoke with Jeff on the phone to get a second opinion" and "Called Jeff late afternoon" (https://www.jonesheatingandac.com/reviews/) - Jeff is likely to answer and is praised by customers, so treat him as an ally, not a gatekeeper: "Hi Jeff, is Lamar around this morning?" If Jeff is the one on the line, give him the demo number too. BBB lists co-owner Gundi Jones; a "Dion Jones" appears in a review and matches the site's email handle (dionj7@gmail.com) but no role is published - ask, do not assume ("who handles the office side - is that Dion?"). Voicemail likely outside Mon-Fri 8:00-5:30 MT. Do not mention the BuildZoom license note on the call.</t>
        </is>
      </c>
      <c r="AH21" s="8" t="inlineStr">
        <is>
          <t>Heating season opening now plus the legacy: "Three generations on 3300 South, and your own customers say they wait for the first big storm to find out the furnace is down - that's the call that comes after 5:30." Why: site hours vs. "emergency HVAC repairs, even on holidays" (https://www.jonesheatingandac.com/) and the review "I waited until the first big storm to turn on my heater and discover it was flagging" (https://www.jonesheatingandac.com/reviews/).</t>
        </is>
      </c>
      <c r="AI21" s="8" t="inlineStr">
        <is>
          <t>(1) Hours gap vs. promise, verbatim: "Mon - Fri: 8:00 AM - 5:30 PM Sat - Sun: Closed" and "we offer emergency HVAC repairs, even on holidays" (https://www.jonesheatingandac.com/). (2) Booking friction: form-only contact path, no scheduler, no chat/text, no response-time promise (https://www.jonesheatingandac.com/contact/). (3) The phone is answered by the people doing the work, which means it is unattended when they are on a job: "Called Jeff late afternoon. He was at my place the next morning" and "spoke with Jeff on the phone to get a second opinion" (https://www.jonesheatingandac.com/reviews/). (4) Seasonal spike pattern in their own reviews: "I waited until the first big storm to turn on my heater and discover it was flagging" (same page). No reachability complaints were found in the reviews visible on the site (they praise speed); Google/Yelp review text not accessible this run.</t>
        </is>
      </c>
      <c r="AJ21" s="8" t="inlineStr">
        <is>
          <t>Seasonal: heating season opening now in Salt Lake (mid-October); the business publishes heating content for it (blog "No Heat? Discover Solutions for Your Heater Not Working" Oct 23, 2025; "Benefits of Annual Furnace Maintenance &amp; Tune-Ups" Feb 3, 2026 - https://www.jonesheatingandac.com/blog/). Site activity: /contact/ lastmod 2026-10-06, /reviews/ 2026-08-16, service-area pages added/updated 2026-06-03 (page-sitemap.xml). No hiring found (no careers page in sitemap; Indeed blocked). No news or ownership-change evidence found (search unavailable).</t>
        </is>
      </c>
      <c r="AK21" s="8" t="inlineStr">
        <is>
          <t>(1) Website: "As a third-generation HVAC company, we blend rich tradition with modern innovation"; "For more than 58 years"; "Proudly Delivering Excellence Generations Deep" (https://www.jonesheatingandac.com/, seen 2026-10-14). (2) Website About: "Honesty, Integrity, and Fair Pricing Above All"; "now and for generations to come" (https://www.jonesheatingandac.com/about/). (3) BBB: surname-on-the-door family principals Lamar Jones (Owner), Gundi Jones (Owner), Ivan Lamar Jones (VP); A+; Accredited since 9/20/2017; 0 complaints in 3 years (https://www.bbb.org/us/ut/salt-lake-cty/profile/residential-air-conditioning-contractors/jones-heating-and-air-conditioning-inc-1126-2000187). (4) Utah SOS: registered agent Gunhild S Jones at the shop address; inactive predecessor entity "Ivan Jones-Heating and Air Conditioning, Inc." (OpenCorporates links above). 4 signals across 3 source categories (site, BBB, SOS) = high confidence. No contradicting signals found; review replies and social not readable, so Overwhelmed/Old-School cannot be confirmed as secondary.</t>
        </is>
      </c>
      <c r="AL21" s="8" t="inlineStr">
        <is>
          <t>Third-generation family HVAC business ("As a third-generation HVAC company", "For more than 58 years" - https://www.jonesheatingandac.com/). Utah records: current entity "JONES HEATING AND AIR CONDITIONING, INC." (1056923-0142) Active, registered agent Gunhild S Jones at 1352 W 3300 S (https://opencorporates.com/companies/us_ut/1056923-0142); an inactive predecessor entity "IVAN JONES-HEATING AND AIR CONDITIONING, INC." (634546-0142) exists (https://opencorporates.com/companies/us_ut/634546-0142). BBB principals: Lamar Jones (Owner), Gundi Jones (Owner), Ivan Lamar Jones (VP). Lamar works service calls: review 9 months ago "Jeff and Lamar got to me promptly and fixed the heater in about 15 minutes" (https://www.jonesheatingandac.com/reviews/). BuildZoom lists an employee "Ival Lamar Jaones" [sic] and license 351458-5501 (S350 HVAC Qualifier) with conflicting status text - verify on Utah DOPL before outreach. Unconfirmed name: "Dion Jones" is named in a customer review on the site ("Dion Jones went over, in detail, all of the work") and matches the mailto handle dionj7@, but no role is published anywhere - do not infer.</t>
        </is>
      </c>
      <c r="AM21" s="8" t="inlineStr">
        <is>
          <t>OBSERVED from site copy (no owner-signed text was accessible): "Honesty, Integrity, and Fair Pricing Above All"; "A Reputation for Integrity and Customer Satisfaction"; "Proudly Delivering Excellence Generations Deep"; "now and for generations to come" (https://www.jonesheatingandac.com/about/). Customers echo it: "He could have easily sold me a new motor - honest business!"; "a stand up guy who is honest, has integrity, and stands by his work" (https://www.jonesheatingandac.com/reviews/). Tone label: warm-professional, legacy-and-honesty brand, no hype. Mirror with plain, slightly formal language; no slang, no "disrupt".</t>
        </is>
      </c>
      <c r="AN21" s="8" t="inlineStr">
        <is>
          <t>Owner-operator</t>
        </is>
      </c>
      <c r="AO21" s="8" t="inlineStr">
        <is>
          <t>Not found (no search budget this run; linkedin.com/company guess returned 404)</t>
        </is>
      </c>
      <c r="AP21" s="8" t="inlineStr">
        <is>
          <t>Company only: Facebook https://www.facebook.com/JonesHeatingAC/ (linked from site footer; login-walled, activity not readable); YouTube video linked from site (https://www.youtube.com/watch?v=RIAa9ZbOADg, not readable logged-out). Personal owner socials: Not found.</t>
        </is>
      </c>
      <c r="AQ21" s="8" t="inlineStr">
        <is>
          <t>https://www.jonesheatingandac.com</t>
        </is>
      </c>
      <c r="AR21" s="8" t="inlineStr">
        <is>
          <t>dionj7@gmail.com (visible mailto: on every page of the site incl. /contact/ and /maintenance-plans/ "Call us at (801) 972-8557 or email dionj7@gmail.com"; free-mail company inbox, no person or role attached)</t>
        </is>
      </c>
      <c r="AS21" s="8" t="inlineStr">
        <is>
          <t>1352 W 3300 S, West Valley City, UT 84119 (site footer; BBB; Utah SOS via OpenCorporates)</t>
        </is>
      </c>
      <c r="AT21" s="8" t="inlineStr">
        <is>
          <t>84119</t>
        </is>
      </c>
      <c r="AU21" s="8" t="inlineStr">
        <is>
          <t>Salt Lake Valley; homepage lists 15 cities incl. Kearns, Taylorsville, West Jordan, Salt Lake City, South Jordan, Holladay; dedicated area pages for Holladay, Salt Lake City, South Jordan, West Valley City (https://www.jonesheatingandac.com/areas-we-serve/)</t>
        </is>
      </c>
      <c r="AV21" s="8" t="inlineStr">
        <is>
          <t>https://www.google.com/maps/search/?api=1&amp;query=Jones+Heating+%26+Air+Conditioning+Inc+1352+W+3300+S+West+Valley+City+UT+84119</t>
        </is>
      </c>
      <c r="AW21" s="8" t="inlineStr">
        <is>
          <t>4.7</t>
        </is>
      </c>
      <c r="AX21" s="8" t="inlineStr">
        <is>
          <t>159 (GBP mirror at dispatchcore.io, checked 2026-10-14; Google review text and owner replies could not be opened this run)</t>
        </is>
      </c>
      <c r="AY21" s="8" t="inlineStr">
        <is>
          <t>CONFLICT (within 4 years): site says "For more than 58 years" (~1968) and "third-generation HVAC company"; BBB structured data foundingDate 1965-01-01; HomeGuide (scout) "Since 1964". BBB Accredited since 9/20/2017. Safe phrasing: "three generations / nearly six decades".</t>
        </is>
      </c>
      <c r="AZ21" s="8" t="inlineStr">
        <is>
          <t>Not found as a number. Publicly named people: Jeff, Lamar, Terry, Dion Jones (customer reviews on the site's /reviews/ page); BBB principals Lamar Jones, Gundi Jones, Ivan Lamar Jones. OpenCorporates shows "11 officers" (count only; names gated). BBB employee count not listed.</t>
        </is>
      </c>
      <c r="BA21" s="8" t="inlineStr">
        <is>
          <t>1 (single address on site, BBB, and Utah SOS record)</t>
        </is>
      </c>
      <c r="BB21" s="8" t="inlineStr">
        <is>
          <t>AC repair/install/replacement/maintenance, heating repair/install/replacement/tune-up, furnace repair, ductless mini-splits, indoor air quality, humidifiers, fireplaces, radiant heat, commercial HVAC, maintenance plans, financing; Day and Night (ICP) Elite Dealer (sitemap + /resources/day-night-elite-dealer/)</t>
        </is>
      </c>
      <c r="BC21" s="8" t="inlineStr">
        <is>
          <t>basic - SSL, WordPress site with current copyright (2026), contact + estimate forms with SMS-consent checkbox, financing page; no online booking, no chat/text widget, no call tracking, no FAQPage/LocalBusiness schema (page source checked 2026-10-14)</t>
        </is>
      </c>
      <c r="BD21" s="8" t="inlineStr">
        <is>
          <t>diy/template - no agency credit in footer or source; dealer-program-style content (SEER calculator, HVAC troubleshooter, terminology, Day and Night Elite Dealer page); bylined-company blog posts monthly Sep 2025-Feb 2026; GTM only; paid ads not checked this run</t>
        </is>
      </c>
      <c r="BE21" s="8" t="inlineStr">
        <is>
          <t>established - 58+ years, 159 Google reviews, maintenance plans + financing, 4 service-area pages updated June 2026; review velocity and hiring not verifiable this run</t>
        </is>
      </c>
      <c r="BF21" s="8" t="inlineStr">
        <is>
          <t>unknown - Google owner replies not accessible this run; the site's own review widget shows no owner responses; BBB 0 customer reviews</t>
        </is>
      </c>
      <c r="BG21" s="8" t="inlineStr">
        <is>
          <t>Gap confirmed from the business's own site: hours "Mon - Fri: 8:00 AM - 5:30 PM Sat - Sun: Closed" on every page, alongside "we offer emergency HVAC repairs, even on holidays, ensuring you're never left without a solution. No matter when your system falters, our swift response..." (https://www.jonesheatingandac.com/). No answering service, call center, 24/7 line, or AI receptionist mentioned on the site or in page source. Who picks up after 5:30 is unstated.</t>
        </is>
      </c>
      <c r="BH21" s="8" t="inlineStr">
        <is>
          <t>None. "Book a Service" and "Schedule a Consultation" both link to /contact/ (a form with Name, Phone, Email, Interested In, Message + call/SMS consent boxes); no scheduling vendor script in source; no response-time promise on the form (https://www.jonesheatingandac.com/contact/)</t>
        </is>
      </c>
      <c r="BI21" s="8" t="inlineStr">
        <is>
          <t>None. No chat/text widget; only an SMS-marketing consent checkbox on forms ("consent to receive SMS messages from us no more than 2-4 times per month")</t>
        </is>
      </c>
      <c r="BJ21" s="8" t="inlineStr">
        <is>
          <t>WordPress (meta generator), Yoast SEO (schema graph: WebPage/WebSite/BreadcrumbList only), Google Tag Manager, Google Fonts, FontAwesome, reCAPTCHA on forms, "SFS Hosting" (robots.txt comment). Negative: no Housecall Pro/ServiceTitan/Jobber, no Podium/Birdeye, no CallRail/CTM, no Meta pixel (fbq), no chat vendor. Day and Night (ICP) Elite Dealer; financing offered (lender not captured).</t>
        </is>
      </c>
      <c r="BK21" s="8" t="inlineStr">
        <is>
          <t>Not checked (Meta Ad Library, Google Ads Transparency Center, and the LSA unit could not be opened this run - no search budget, JS/login walls). Site-source negatives: no Meta pixel, no call-tracking number swap (the same (801) 972-8557 appears 12x across two loads), no gclid/UTM landing pages; GTM container present.</t>
        </is>
      </c>
      <c r="BL21" s="8" t="inlineStr">
        <is>
          <t>not checked (ChatGPT/Perplexity/Gemini could not be queried this run). Schema check done: no FAQPage or LocalBusiness JSON-LD on home or /resources/hvac-faqs/ (FAQ content exists as plain HTML only).</t>
        </is>
      </c>
      <c r="BM21" s="8" t="inlineStr">
        <is>
          <t>PASS. Chain/franchise: no - independent family corporation, 1 location, no parent (BBB, SOS). Website: working own-domain WordPress site, copyright 2026, pages updated through 2026-10-06. Live US business: Utah entity Active (OpenCorporates 1056923-0142), BBB A+ accredited since 2017, 0 complaints, GBP mirror shows hours and 159 reviews. Inbound channel: phone on every page + two forms. Category: residential/commercial HVAC contractor (not competitor). Already automated: no AI receptionist or GEO vendor detected. Suppression/seen: no match for jonesheatingandac.com or "Jones Heating" in suppression.csv or seen.csv (grep 2026-10-14). FLAG (not a disqualifier): BuildZoom shows conflicting license status for Utah license 351458-5501 ("Active" in table, "No active license on file" in score text, expiration Nov 2025) - verify on Utah DOPL before outreach; the SOS entity and BBB accreditation are current.</t>
        </is>
      </c>
      <c r="BN21" s="8" t="inlineStr">
        <is>
          <t>D1 Decision-maker: 8/20 - full name + role cited: "Lamar Jones, Owner" (plus Gundi Jones, Owner; Ivan Lamar Jones, VP) on BBB principal contacts; corroborated hands-on by site review naming Lamar on a call; contact is a generic free-mail company inbox (dionj7@gmail.com), no owner LinkedIn, no direct line -&gt; call-first route (https://www.bbb.org/us/ut/salt-lake-cty/profile/residential-air-conditioning-contractors/jones-heating-and-air-conditioning-inc-1126-2000187). | D2 Phone/after-hours gap: 15/15 - phone-first (tel: in header on every page, "Call us at (801) 972-8557" CTA, no booking), inherently urgent niche, cited gap: hours "Mon - Fri: 8:00 AM - 5:30 PM Sat - Sun: Closed" vs "emergency HVAC repairs, even on holidays"; no answering service/24-7/AI mention in source (https://www.jonesheatingandac.com/). | D3 Lead-response leak: 5/15 - exactly 1 signal type: booking/contact friction verified in page source (no scheduler, no chat/text, no response-time promise); reviews visible on site praise speed; Google review text/reply rate, Yelp, Indeed, BBB complaints (0) checked where reachable, no reachability complaints found. | D4 AI search visibility: 0/10 NO EVIDENCE - no AI platform could be queried this run; schema check only (no FAQPage/LocalBusiness JSON-LD; HTML FAQ page exists). | D5 ICP fit/ability to pay: 15/15 - independent 3rd-generation family corp, 1 location, HVAC core; proxies: 58+ years / BBB 1965 (https://www.jonesheatingandac.com/about/), 159 Google reviews (dispatchcore mirror), HVAC install ticket $6-12k + financing + maintenance plans (/financing/, /maintenance-plans/), service area 15 cities, 4 named staff in reviews. | D6 Buying signals: 3/15 - soft activity only: blog posts monthly Sep 2025-Feb 2026, site pages updated June-Oct 2026, seasonal heating window inferred from the vertical calendar with their heating-season blog as the only business-specific tie; spend checklist: (d) source negative for pixel/call tracking/agency (GTM only); (a) Google Ads, (b) LSA, (c) Meta Ad Library, (e) paid directories NOT CHECKED this run. | D7 Attitude/stack: 6/10 - net 2 positives: modern maintained site (copyright 2026, blog, SSL) and consumer financing offered; no negatives observed; no incumbent agency credit; review-reply tone and social recency unknown. TOTAL 52 = WATCH band (blockers: D4 unchecked, D3 thin). Evidence present in 6/7 dimensions; D1 positive citation; D2 direct (quoted hours string); D5 cited -&gt; TRUSTED by the task's dedupe standard (suppression.csv + seen.csv); GHL sub-account dedupe not run here.</t>
        </is>
      </c>
      <c r="BO21" s="8" t="inlineStr">
        <is>
          <t>https://www.jonesheatingandac.com/, https://www.jonesheatingandac.com/contact/, https://www.jonesheatingandac.com/reviews/, https://www.bbb.org/us/ut/salt-lake-cty/profile/residential-air-conditioning-contractors/jones-heating-and-air-conditioning-inc-1126-2000187, https://www.jonesheatingandac.com/about/, https://opencorporates.com/companies/us_ut/1056923-0142, https://opencorporates.com/companies/us_ut/634546-0142, https://www.dispatchcore.io/directory/hvac/west-valley-city-ut/jones-heating-and-air-conditioning, https://www.buildzoom.com/contractor/jones-heating-and-air-conditioning-inc, https://www.jonesheatingandac.com/blog/, https://www.jonesheatingandac.com/page-sitemap.xml, https://www.jonesheatingandac.com/maintenance-plans/, https://www.jonesheatingandac.com/financing/, https://www.jonesheatingandac.com/resources/hvac-faqs/, https://www.jonesheatingandac.com/resources/day-night-elite-dealer/, https://www.jonesheatingandac.com/areas-we-serve/, https://www.jonesheatingandac.com/robots.txt, https://homeguide.com/ut/taylorsville/furnace-repair/jones-heating---air-conditioning-qQQIkSzl9, https://www.facebook.com/JonesHeatingAC/</t>
        </is>
      </c>
      <c r="BP21" s="8" t="inlineStr">
        <is>
          <t>Medium</t>
        </is>
      </c>
      <c r="BQ21" s="8" t="inlineStr">
        <is>
          <t>Title detail: Owner (BBB "Principal Contacts": "Lamar Jones, Owner"; also listed "Gundi Jones, Owner" and "Ivan Lamar Jones, Vice President"). 1) Honest band is WATCH (52), not the scout's 61: D4 could not be run (no search/AI platform access this turn) and D3 has only the friction signal. One GEO money question ("emergency furnace repair near West Valley City, UT") on a single platform would re-score D4 to 6-10 and lift this to 58-62 QUALIFIED; worth doing because D2 (15) and D5 (15) are maxed and the demo can be built today. 2) Route: call-first to Sam. The only email is a free-mail company inbox (dionj7@gmail.com) with no name attached; do not spend an email slot and do not address it to "Dion" or "Lamar". 3) Owner name source is BBB principals only (Lamar Jones, Owner; Gundi Jones, Owner; Ivan Lamar Jones, VP) plus a review placing Lamar on service calls - LIKELY owner-operator, not CONFIRMED by a government officer list (OpenCorporates gates officer names). 4) Verify Utah DOPL license 351458-5501 before outreach (BuildZoom shows conflicting status; expiration Nov 2025). Entity is Active and BBB accreditation current, so not a disqualifier. 5) Founding year conflicts by 3-4 years across site/BBB/HomeGuide - say "three generations" or "nearly six decades", not a number. 6) Not checked this run: Google review text and owner-reply rate, Yelp, Indeed, Meta Ad Library, Google Ads Transparency, LSA, Facebook page activity, Wayback (egress blocked). 7) Brand is honesty/integrity-led - no hype, no "disrupt", position voice AI strictly as after-hours/overflow and never as replacing Jeff.</t>
        </is>
      </c>
      <c r="BR21" s="10" t="inlineStr"/>
      <c r="BS21" s="10" t="inlineStr"/>
      <c r="BT21" s="10" t="inlineStr"/>
    </row>
    <row r="22" ht="120" customHeight="1">
      <c r="A22" s="8" t="inlineStr">
        <is>
          <t>20261013-21</t>
        </is>
      </c>
      <c r="B22" s="8" t="inlineStr">
        <is>
          <t>2026-10-13</t>
        </is>
      </c>
      <c r="C22" s="8" t="n">
        <v>2</v>
      </c>
      <c r="D22" s="10" t="inlineStr"/>
      <c r="E22" s="10" t="inlineStr">
        <is>
          <t>New</t>
        </is>
      </c>
      <c r="F22" s="8" t="n">
        <v>52</v>
      </c>
      <c r="G22" s="8">
        <f>IF(F22="","",IF(F22&gt;=80,"A — send today",IF(F22&gt;=60,"B — worth a touch",IF(F22&gt;=40,"C — hold","D — reject"))))</f>
        <v/>
      </c>
      <c r="H22" s="8" t="inlineStr">
        <is>
          <t>Sacramento Plumbing Solutions</t>
        </is>
      </c>
      <c r="I22" s="8" t="inlineStr">
        <is>
          <t>Michael</t>
        </is>
      </c>
      <c r="J22" s="8" t="inlineStr">
        <is>
          <t>Grijalva (Jr.)</t>
        </is>
      </c>
      <c r="K22" s="8" t="inlineStr">
        <is>
          <t>Owner</t>
        </is>
      </c>
      <c r="L22" s="8" t="inlineStr">
        <is>
          <t>Not found</t>
        </is>
      </c>
      <c r="M22" s="8" t="inlineStr">
        <is>
          <t>None found</t>
        </is>
      </c>
      <c r="N22" s="8" t="inlineStr">
        <is>
          <t>Not found</t>
        </is>
      </c>
      <c r="O22" s="8" t="inlineStr">
        <is>
          <t>Not found (only the main line appears on site, BBB and CSLB)</t>
        </is>
      </c>
      <c r="P22" s="8" t="inlineStr">
        <is>
          <t>+1 916-275-4716 (site header tel: link, BBB, CSLB business phone — CONFIRMED main line)</t>
        </is>
      </c>
      <c r="Q22" s="8" t="inlineStr">
        <is>
          <t>Plumbing</t>
        </is>
      </c>
      <c r="R22" s="8" t="inlineStr">
        <is>
          <t>core</t>
        </is>
      </c>
      <c r="S22" s="8" t="inlineStr">
        <is>
          <t>Sacramento</t>
        </is>
      </c>
      <c r="T22" s="8" t="inlineStr">
        <is>
          <t>CA</t>
        </is>
      </c>
      <c r="U22" s="8" t="inlineStr">
        <is>
          <t>Burst-pipe and no-hot-water season is opening (their own blog targets 'Holiday Plumbing Survival Sacramento' and 'Winter Plumbing Maintenance Sacramento'), which is exactly when the after-7pm and Sunday gap costs the most; Expertise.com just refreshed its 2026 'Best Plumbers in Sacramento' list (Oct 12, 2026) with them on it, so more homeowners will be calling; and they just passed 15 years licensed (July 2011) — a safe, warm hook.</t>
        </is>
      </c>
      <c r="V22" s="8" t="inlineStr">
        <is>
          <t>Family-Legacy Pride Brand (primary, medium confidence); secondary: Overwhelmed Owner-Operator (owner answers the phone himself; no reachability complaints found)</t>
        </is>
      </c>
      <c r="W22" s="8" t="inlineStr">
        <is>
          <t>Voice AI live demo built from sacramentoplumbingsolutions.com — emergency/after-hours angle (burst pipe at 2 a.m., Sunday calls, calls while Mike is under a sink); add missed-call text-back. demo_build = yes (D2 = 15, site scrapable). Door-opener: the demo number, not the Scorecard. Run one GEO money question before promoting (D4 blocker).</t>
        </is>
      </c>
      <c r="X22" s="8" t="inlineStr">
        <is>
          <t>Recover</t>
        </is>
      </c>
      <c r="Y22" s="8" t="inlineStr">
        <is>
          <t>Who picks up at 2am for Sacramento Plumbing Solutions? (hold — no email found; call-first)</t>
        </is>
      </c>
      <c r="Z22" s="8" t="inlineStr">
        <is>
          <t>Mike, your site says 'Available 24/7 for Emergencies' and your phone hours stop at 7 — and your reviews say you're the one answering, which is a lot to carry alongside a 10-person crew.</t>
        </is>
      </c>
      <c r="AA22" s="8" t="inlineStr">
        <is>
          <t>Relief, not growth. Mike has been answering the phone himself since 2011 (reviews: 'Mike answered my call early in the morning', 'fix my leak after hours') while running a 10-person family crew as Lead Journeyman. The site promises 24/7 but posted phone hours end at 7pm with Sunday closed. Offer a demo line trained on their own site and family story that answers only the calls he already can't take (on a job, after 7, Sundays), gets name/number/address/urgency, books it, and texts him the summary; go-live is one conditional call-forwarding rule for missed/busy calls, rollback is one dial code. Frame as protecting the name and the 'We remember you' service, never as replacing Mike or the office. Do not lead with the word 'AI'; lead with the 2 a.m. burst pipe.</t>
        </is>
      </c>
      <c r="AB22" s="8" t="inlineStr">
        <is>
          <t>'I answer my own phone — my customers want to hear from me.' (True per his reviews.) Reply: it only catches the calls that already go to voicemail — while he's under a sink, after 7pm, Sundays — and hands him the booked job by text; a human still answers whenever one can. Second objection: 'It won't sound like us / will embarrass me with a customer.' Reply: it's trained on their own site and family story; call the demo number and judge it before anything else happens. Third: 'We're busy enough.' Reply: then it's about not losing the repipe or water-heater call to the next name on Google, and about his crew's weekends.</t>
        </is>
      </c>
      <c r="AC22" s="8" t="inlineStr">
        <is>
          <t>"Hi, is this Mike? Mike, it's Sam with Eat 4 Life Marketing — straight up, this is a cold call, and I'll be quick. I was on your site: it says 'Available 24/7 for Emergencies,' but your phone hours stop at 7, and your reviews say you're the one picking up. We built a demo receptionist trained on Sacramento Plumbing Solutions' own site — it answers the 2 a.m. burst-pipe call, gets the name, number and address, books it, and texts you. You can call it and hear it before anything else happens. Can I take 20 seconds to tell you how it works, and if it's not for you, you tell me and I'm gone?"</t>
        </is>
      </c>
      <c r="AD22" s="8" t="inlineStr">
        <is>
          <t>Tue–Thu 7:00–8:00 AM PT — inside their stated phone hours (start 7am) and before crews dispatch; reviews say Mike answers the line himself early ('Mike answered my call early in the morning'). Backup window: Tue–Thu 4:00–5:30 PM PT when trucks are wrapping up but phone hours run to 7pm. Avoid Mondays (post-weekend emergency backlog) and never after 7pm or Sundays (phone closed).</t>
        </is>
      </c>
      <c r="AE22" s="8" t="inlineStr">
        <is>
          <t>Site header/footer: Mon–Fri 8am–5pm; Saturday Closed; Sunday Closed. Contact page 'Phone Hours': Mon–Sat 7am–7pm; Sunday Closed. Emergency page: '24 hour service call 6 days a week Monday through Saturday'. Google Business Profile hours: Not found (not retrievable this run).</t>
        </is>
      </c>
      <c r="AF22" s="8" t="inlineStr">
        <is>
          <t>America/Los_Angeles (Pacific Time)</t>
        </is>
      </c>
      <c r="AG22" s="8" t="inlineStr">
        <is>
          <t>Per the site's reviews page, the owner Mike frequently answers the main line himself ('Mike answered my call early in the morning', 'Mike, the owner, called me back quickly'), so ask for Mike by name. A 'Grace' handled scheduling per an Aug 2021 Yelp review ('Grace was friendly, informative, and easy to reach to schedule') and a May 2023 Google review mentions a 'She' who coordinated city inspections — LIKELY an office coordinator (stale, re-verify on the call). CSLB workers' comp carries code 8810 Clerical Office Employees, confirming at least one office person. No answering service or IVR detected. If office answers: 'Hi, is Mike around this morning? It's Sam — I've got a demo line built for your business he can call.' No owner cell published; main line only.</t>
        </is>
      </c>
      <c r="AH22" s="8" t="inlineStr">
        <is>
          <t>Expertise.com's 2026 'Best Plumbers in Sacramento, CA' list (last updated Oct 12, 2026) names Sacramento Plumbing Solutions — a fresh, safe, verifiable compliment (https://www.expertise.com/ca/sacramento/plumbing). Pair it with the neutral observation: the site says 'Available 24/7 for Emergencies' while the Contact page's phone hours are Mon–Sat 7am–7pm, Sunday closed, and the reviews say Mike is the one answering.</t>
        </is>
      </c>
      <c r="AI22" s="8" t="inlineStr">
        <is>
          <t>(1) 24/7 vs posted hours, on their own site: 'Available 24/7 for Emergencies' and 'Your Emergency is Our Emergency. Call us NOW!' (home) vs 'Saturday: Closed' / 'Sunday: Closed' and Contact 'Phone Hours' Mon–Sat 7am–7pm, Sunday closed; emergency page concedes 'a 24 hour service call 6 days a week Monday through Saturday' — Sunday is uncovered by their own wording. (2) The owner is the receptionist: 'Mike, the owner, called me back quickly' (Yelp 11/06/2023), 'Mike answered my call early in the morning' (Yelp 5/19/2016), 'Mike has given me estimate over the phone' (Yelp 2/18/2021), 'Thanks Mike for going above and beyond to fix my leak after hours' (Google 8/04/2021), 'I called Mike really late in the afternoon with a water heater problem' (Google 3/20/2023) — a 10-person shop where the Lead Journeyman owner is fielding calls; an office person (Grace, later Lauren per 5/12/2024 Yelp) handles billing/scheduling. (3) Booking friction: no online scheduling, no chat/text, CAPTCHA form with no response-time promise (verified in source). (4) One mild counter-signal: a 2/12/2019 Yelp review says 'communication with Mike was spotty' (status updates during a job) — the only communication complaint found; all other reviews praise responsiveness.</t>
        </is>
      </c>
      <c r="AJ22" s="8" t="inlineStr">
        <is>
          <t>None dated within 60 days. Soft/older: Expertise.com 2026 'Best Plumbers in Sacramento' list updated 2026-10-12 naming them; blog last published 2026-07-22 ('Repiping &amp; Home Insurance Sacramento'); homepage lastmod 2026-04-09; workers' comp policy renewed 2026-07-02 (CSLB, not a marketing trigger); seasonal: their own blog targets 'Holiday Plumbing Survival Sacramento' and 'Winter Plumbing Maintenance' — burst-pipe/no-hot-water season is opening now. Checked with nulls: careers page (none), Indeed (403), Meta Ad Library (403), Google Ads Transparency (no advertiser visible), SOS officer changes (last amendment 31 Mar 2021 name change), hiring posts (search unavailable).</t>
        </is>
      </c>
      <c r="AK22" s="8" t="inlineStr">
        <is>
          <t>(1) Website: 'family owned and operated team of journeyman plumbers', 'Father, son, nephews working together', 'Established in 2011', 'We remember you', 'Multi-generational' — https://www.sacramentoplumbingsolutions.com/about/ (seen 2026-10-14). (2) Reputation-conscious: BBB Accredited since 2020-07-31, A+, 0 complaints — https://www.bbb.org/us/ca/sacramento/profile/plumber/sacramento-plumbing-solutions-1156-47043191; Expertise.com 2026 'Best Plumbers' listing on site. (3) Reviews name the owner warmly and show him personally working the phone: 'Mike, the owner, called me back quickly' (11/06/2023), 'Mike answered my call early in the morning' (5/19/2016), 'Mike has given me estimate over the phone' (2/18/2021), 'Thanks Mike for going above and beyond to fix my leak after hours' (8/04/2021) — https://www.sacramentoplumbingsolutions.com/reviews/. (4) 24/7 claim vs posted hours (site) = owner-covered after-hours. Contradicting signal: the site is modern and actively blogged (2026 copyright, 48 posts through 7/22/2026), so not a dated-site legacy brand. Secondary tags — tech_adoption: basic; marketing_sophistication: diy (no agency credit); growth_stage: established; review_response_behavior: unknown; communication_tone: warm_personal; phone_dependence: phone_first; after_hours_coverage: claims_24_7; missed_call_pain: none in reviews (praise instead); ai_stance: unknown; decision_maker_access: owner_direct; timing_trigger: none within 90 days.</t>
        </is>
      </c>
      <c r="AL22" s="8" t="inlineStr">
        <is>
          <t>Self-stated on site About: '22 Years Experience'; 'Each plumber starts in training as an apprentice and spend 2 years working with Mike on hands on training'; business-level statement 'Father, son, nephews working together to share knowledge and provide personal service' and 'Multi-generational' (homepage). Licensed C36 plumbing contractor since 07/08/2011 (CSLB), license current through 04/30/2027. No podcast, press profile, military or trade-school statements found (search unavailable this run).</t>
        </is>
      </c>
      <c r="AM22" s="8" t="inlineStr">
        <is>
          <t>Tone: warm_personal / honest-tradesman. Verbatim site lines: 'We're not in the business of taking advantage of you.'; 'We believe everybody deserves quality plumbing repairs from an honest company'; 'We remember you'; 'Your Emergency is Our Emergency. Call us NOW!'; '100% satisfaction guaranteed or we'll make it right'. Reviewers on the site's own reviews page: 'he was very sweet on the phone the night before when I called at 4:30' (1/2024); 'Mike asked right away if I had an emergency need.' (3/2016); 'Mike, the owner, called me back quickly, requested pictures, and scheduled me with ease.' (11/2023). Bragging points: Expertise.com 'Best Plumbers in Sacramento' (2026 list), BBB A+ accredited since 2020, '5-Star Rated On Yelp', family-run since 2011, licensed/bonded/insured.</t>
        </is>
      </c>
      <c r="AN22" s="8" t="inlineStr">
        <is>
          <t>Owner-operator</t>
        </is>
      </c>
      <c r="AO22" s="8" t="inlineStr">
        <is>
          <t>Not found (LinkedIn X-ray not possible this run — web search budget exhausted; linkedin.com/company/sacramento-plumbing-solutions returned 404)</t>
        </is>
      </c>
      <c r="AP22" s="8" t="inlineStr">
        <is>
          <t>Company Facebook: https://www.facebook.com/sacplumbingsolutions (linked from site footer; login wall, posts not readable logged out). Company YouTube: https://www.youtube.com/channel/UCSTe7FALayzFxETiflG6Ceg (linked from site; content not readable logged out). No Instagram/TikTok/X links on site. Owner personal socials: Not found.</t>
        </is>
      </c>
      <c r="AQ22" s="8" t="inlineStr">
        <is>
          <t>https://www.sacramentoplumbingsolutions.com</t>
        </is>
      </c>
      <c r="AR22" s="8" t="inlineStr">
        <is>
          <t>Not found (no mailto or @domain string in homepage/about/contact source; not on BBB or CSLB; Gravity Forms CAPTCHA estimate form only)</t>
        </is>
      </c>
      <c r="AS22" s="8" t="inlineStr">
        <is>
          <t>5716 Folsom Blvd Ste 314, Sacramento, CA 95819 (site + BBB). Note: CSLB mailing address is P.O. Box 424, Folsom, CA 95763; CA SOS registered address (OpenCorporates) is 11345 Trade Center Dr #150, Rancho Cordova, CA 95742 — three addresses, one business; Ste 314 may be a mailbox suite.</t>
        </is>
      </c>
      <c r="AT22" s="8" t="inlineStr">
        <is>
          <t>95819</t>
        </is>
      </c>
      <c r="AU22" s="8" t="inlineStr">
        <is>
          <t>Sacramento, Roseville, Folsom, Rancho Cordova, Placerville, El Dorado Hills, Citrus Heights, Elk Grove, Rocklin, Carmichael, Orangevale, Davis (site footer + city pages)</t>
        </is>
      </c>
      <c r="AV22" s="8" t="inlineStr">
        <is>
          <t>Not found (GBP not retrievable this run)</t>
        </is>
      </c>
      <c r="AW22" s="8" t="inlineStr">
        <is>
          <t>Not found (GBP not accessible this run; site displays a '4.7 Stars Reviews' widget image; BBB A+ accredited since 2020-07-31)</t>
        </is>
      </c>
      <c r="AX22" s="8" t="inlineStr">
        <is>
          <t>Not found (GBP count unavailable; site /reviews/ page shows roughly 100 Google + Yelp reviews with the newest dated 10/07/2026 via WP Review Slider Pro; BBB: 0 reviews, 0 complaints in 3 years)</t>
        </is>
      </c>
      <c r="AY22" s="8" t="inlineStr">
        <is>
          <t>2011 — CONFIRMED: site 'Established in 2011'; BBB Business Started 2011-07-08; Expertise.com 'founded in 2011'. CSLB issue date 07/08/2011 not re-verified this run (CSLB blocked) but matches BBB. SOS record shows a 31 Mar 2021 name-change amendment (prior name not displayed) and an FTB suspension 1 Oct 2020 / revivor 15 Oct 2020 (resolved).</t>
        </is>
      </c>
      <c r="AZ22" s="8" t="inlineStr">
        <is>
          <t>10 employees (site About: 'family-run plumbing company with 10 employees'); CSLB workers' comp active 07/02/2026–07/02/2027 with code 8810 Clerical Office Employees, so there is at least one office/admin person; emergency page: 'a fleet of plumbing trucks plus a team of skilled and licensed plumbers'</t>
        </is>
      </c>
      <c r="BA22" s="8" t="inlineStr">
        <is>
          <t>1 (single service location; no locations/franchise pages; 10 city service-area pages)</t>
        </is>
      </c>
      <c r="BB22" s="8" t="inlineStr">
        <is>
          <t>Emergency plumbing, repiping (copper/PEX), trenchless sewer repair, pipe bursting, hydro-jetting, sewer camera inspection, leak detection, slab leaks, gas lines, water heaters (tankless, heat pump, replacement/repair), hot water recirculation pumps, sump pumps, garbage disposal, toilet repair, irrigation/sprinkler repair, ADU plumbing, commercial plumbing</t>
        </is>
      </c>
      <c r="BC22" s="8" t="inlineStr">
        <is>
          <t>basic — SSL, WordPress/Divi, Gravity Forms contact form with CAPTCHA, Google Tag Manager, WP Review Slider Pro review widget, Organization JSON-LD only; no online booking, no chat, no text-us, no financing, no call tracking (homepage source scan 2026-10-14)</t>
        </is>
      </c>
      <c r="BD22" s="8" t="inlineStr">
        <is>
          <t>diy (possible freelance SEO content vendor) — no agency footer credit; steady SEO blog (48 posts, 2025-12 through 2026-07, e.g. 'Repiping Cost Sacramento 2026 Guide'); Expertise.com badge; 'Angies List' logo under certifications; GTM installed; no pixels or call tracking</t>
        </is>
      </c>
      <c r="BE22" s="8" t="inlineStr">
        <is>
          <t>established — 15 years (CSLB 07/08/2011), 10 employees, steady review inflow through 7/2026, single location, no hiring evidence found (careers page absent; Indeed blocked)</t>
        </is>
      </c>
      <c r="BF22" s="8" t="inlineStr">
        <is>
          <t>unknown — GBP and Yelp not accessible this run; the site's own review widget shows no owner replies</t>
        </is>
      </c>
      <c r="BG22" s="8" t="inlineStr">
        <is>
          <t>Gap documented on the business's own site: header/footer hours 'Mon–Fri 8am–5pm', 'Saturday: Closed', 'Sunday: Closed'; Contact page 'Phone Hours' Mon–Sat 7am–7pm, Sunday closed; versus homepage 'Available 24/7 for Emergencies', 'Your Emergency is Our Emergency. Call us NOW!' and emergency page 'We Offer 24/7 Emergency Plumbing Service' / 'we are available for a 24 hour service call 6 days a week Monday through Saturday'. No answering service, call center or AI receptionist mentioned anywhere on site or in page source. Reviews indicate the owner personally answers/returns calls ('Mike answered my call early in the morning'; 'fix my leak after hours'). No separate after-hours number published. GBP hours: not retrieved.</t>
        </is>
      </c>
      <c r="BH22" s="8" t="inlineStr">
        <is>
          <t>None — 'Schedule Free Estimate' button opens a Gravity Forms CAPTCHA form (name, email, phone, address, issue); no scheduling vendor script (no calendly/housecallpro/servicetitan/jobber) in source; /schedule-inspection/ page exists (lastmod 2022-12-02) but is a form, not a scheduler</t>
        </is>
      </c>
      <c r="BI22" s="8" t="inlineStr">
        <is>
          <t>None — no chat, text-us or messaging widget in homepage source (checked podium, birdeye, tidio, intercom, tawk, livechat, textline, leadconnector, weave)</t>
        </is>
      </c>
      <c r="BJ22" s="8" t="inlineStr">
        <is>
          <t>WordPress + Divi theme; Gravity Forms (CAPTCHA); Google Tag Manager; WP Review Slider Pro (pulls Google + Yelp reviews); Organization schema only (no FAQPage/LocalBusiness). Not detected: booking, chat/text, call tracking (CallRail/CTM), Meta pixel, Hotjar, answering service, AI voice agent, agency platform (Scorpion/Hibu/Thryv/RYNO).</t>
        </is>
      </c>
      <c r="BK22" s="8" t="inlineStr">
        <is>
          <t>Not found / inconclusive — Google Ads Transparency Center for the domain rendered no advertiser (page truncated, not conclusive); Meta Ad Library returned 403; Google LSA unit not checked (search unavailable); no gclid/UTM/CallRail dynamic numbers in page source. Only paid-directory hints: 'Angies List' logo under certifications and an Expertise.com badge (not proof of an active paid listing).</t>
        </is>
      </c>
      <c r="BL22" s="8" t="inlineStr">
        <is>
          <t>not checked — Perplexity returned 403 and the web-search budget was exhausted this run, so no money question could be asked on any platform (D4 = NO EVIDENCE). Schema check done: no FAQPage or LocalBusiness JSON-LD on the site (Organization only), so the GEO wedge is open if a spot-check comes back 'not named'.</t>
        </is>
      </c>
      <c r="BM22" s="8" t="inlineStr">
        <is>
          <t>PASS — not a chain/franchise (independent CA stock corporation, 1 location, no franchise language); website live (HTTP 200, 238 KB); live U.S. business (CSLB #963048 current and active through 04/30/2027; CA SOS status Active; BBB A+ accredited; reviews through 7/03/2026); inbound channel exists (phone + estimate form); not a competitor category; no competing AI receptionist or answering service in source; suppression.csv and seen.csv: no match on domain or name. Pending: GHL 'E4L Services' dedupe (ghl-contacts.js) not run in this session.</t>
        </is>
      </c>
      <c r="BN22" s="8" t="inlineStr">
        <is>
          <t>D1 Decision-maker: 8/20 — Full name + role CONFIRMED from 3 sources (site About 'Mike Grijalva, Owner, Lead Journeyman Plumber'; BBB 'Mr. Michael Grijalva Jr., Owner'; CSLB qualifying individual MICHAEL PETE GRIJALVA JR owning 10%+; SOS agent Michael P Grijalva) but no email anywhere, no direct line, LinkedIn not found; contact is CAPTCHA form + staffed main line only = DEMO PATH / call-first. | D2 Phone gap: 15/15 — phone-first ('Call us today at (916) 275-4716 to schedule a service', tel link in header) AND cited gap: site hours 'Mon–Fri 8am–5pm, Saturday: Closed, Sunday: Closed' and Contact 'Phone Hours' Mon–Sat 7am–7pm vs 'Available 24/7 for Emergencies'; no answering service/AI/24-7 staffing claim in source; inherently urgent niche. GBP hours not retrieved (site-stated hours used). | D3 Leak evidence: 5/15 — exactly 1 signal type: (5) booking/contact friction verified in source (no scheduler, no chat/text, CAPTCHA form, no response promise). Nulls logged: (1) no responsiveness complaints — reviews actively praise responsiveness; (2) no job posts found (careers page absent, Indeed 403); (3) owner reply rate unknown (GBP/Yelp blocked); (4) Yelp badges unknown (403); (6) BBB 0 complaints. | D4 AI visibility: 0/10 — NO EVIDENCE: no platform could be checked (Perplexity 403, search budget exhausted); schema check: no FAQPage/LocalBusiness JSON-LD. | D5 ICP fit: 15/15 — (a) independent corporation, 1 location, named owner, 'family owned and operated'; (b) plumbing core niche; (c) 4 ability proxies: 15 years (CSLB 07/08/2011, BBB 2011-07-08), 10 employees + truck fleet + clerical WC code, high-ticket services (repiping, trenchless sewer, tankless — plumbing repipe/water heater $1.5–5k row), 12-city service area with 24/7 emergency claim. | D6 Buying signals: 3/15 — no dated trigger within 180 days; only soft activity (monthly SEO blog through 7/22/2026, 2026 Expertise list, steady reviews) and no confirmed paid-media signal; checklist: (a) Google Ads none visible/inconclusive, (b) LSA not checked, (c) Meta 403, (d) GTM only, no pixel/call tracking/agency credit, (e) 'Angies List' logo + Expertise badge unverified as paid. | D7 Attitude: 6/10 — net 2 positives: modern site (2026 copyright, homepage updated 2026-04-09, active blog) and growth/award posture (Expertise 2026 'Best Plumbers', BBB A+ accredited); review replies and 60-day social unverifiable; no negatives; no incumbent agency conflict (WordPress/Divi, no credit). | TOTAL 52/100 = WATCH band on strict arithmetic; blocker = D4 (unchecked, not failed). Evidence on 6 of 7 dimensions; D1 positive; D2 direct (quoted hours); D5 cited. Hard-disqualifier pass: PASS (not chain/franchise; site live; CSLB active to 04/30/2027, SOS Active; phone + form; not a competitor; no AI receptionist; suppression.csv and seen.csv clear) — GHL ghl-contacts.js dedupe not run in this session, so mark TRUSTED pending GHL check.</t>
        </is>
      </c>
      <c r="BO22" s="8" t="inlineStr">
        <is>
          <t>https://www.sacramentoplumbingsolutions.com, https://www.sacramentoplumbingsolutions.com/about/, https://www.sacramentoplumbingsolutions.com/contact/, https://www.sacramentoplumbingsolutions.com/emergency-plumbing/, https://www.sacramentoplumbingsolutions.com/reviews/, https://www.cslb.ca.gov/OnlineServices/CheckLicenseII/LicenseDetail.aspx?LicNum=963048, https://www.bbb.org/us/ca/sacramento/profile/plumber/sacramento-plumbing-solutions-1156-47043191, https://opencorporates.com/companies/us_ca/4223390, https://www.expertise.com/ca/sacramento/plumbing, https://www.sacramentoplumbingsolutions.com/post-sitemap.xml, https://www.sacramentoplumbingsolutions.com/page-sitemap.xml, https://www.facebook.com/sacplumbingsolutions, https://www.youtube.com/channel/UCSTe7FALayzFxETiflG6Ceg, https://www.bbb.org/us/ca/sacramento/category/plumber</t>
        </is>
      </c>
      <c r="BP22" s="8" t="inlineStr">
        <is>
          <t>Medium</t>
        </is>
      </c>
      <c r="BQ22" s="8" t="inlineStr">
        <is>
          <t>Title detail: Owner, Lead Journeyman Plumber (site About); 'Owner' (BBB: Mr. Michael Grijalva Jr.); CA SOS registered agent 'Michael P GRIJALVA' (OpenCorporates). CSLB qualifying-individual detail (MICHAEL PETE GRIJALVA JR, 10%+) could not be re-opened this run (CSLB blocked) — treat as unverified but consistent. Name CONFIRMED by site + BBB + SOS.. Legal entity note: legal: Sacramento Plumbing Solutions, Inc.. 1) Band: 52 = WATCH on strict arithmetic, but the only true blocker is D4 (unchecked, not failed: Perplexity 403 and the search budget was gone). Per rubric, run ONE GEO money question ('emergency plumber near Sacramento, CA') and re-score; a 'not named' result moves this to 58–62 = QUALIFIED. D6 is thin (3) only because ad checks were blocked, not negative. 2) DEMO PATH: no email exists anywhere public — do not spend an email slot; Sam call-first with the demo number. Owner name is CONFIRMED by site + BBB + CSLB (Michael Pete Grijalva Jr., goes by 'Mike'). 3) Build the demo: D2 = 15 and the site is a clean WordPress scrape with the family story, 12 service pages and the 24/7 copy to train on. 4) The sales truth here: Mike IS the receptionist. No reachability complaints — reviews praise him for answering — so never imply they miss calls; position strictly as after-7pm/Sunday/on-a-job overflow that protects the 'We remember you' reputation. Family-Legacy framing, no 'AI' in the opener. 5) Address trivia: BBB/site Ste 314 at 5716 Folsom Blvd, CSLB P.O. Box in Folsom, SOS address in Rancho Cordova — one business, do not let it confuse the GHL record. 6) Do-not-quote: never read a review back to him; summarize as 'your reviews say you're the one picking up'. 7) Dedupe: suppression.csv and seen.csv clear; GHL ghl-contacts.js check not run in this session — run before load. 8) Not verified this run (blocked): GBP rating/count/hours and owner reply rate, Yelp badges, Facebook posts, LinkedIn, Indeed, Meta Ad Library.</t>
        </is>
      </c>
      <c r="BR22" s="10" t="inlineStr"/>
      <c r="BS22" s="10" t="inlineStr"/>
      <c r="BT22" s="10" t="inlineStr"/>
    </row>
    <row r="23" ht="120" customHeight="1">
      <c r="A23" s="8" t="inlineStr">
        <is>
          <t>20261013-22</t>
        </is>
      </c>
      <c r="B23" s="8" t="inlineStr">
        <is>
          <t>2026-10-13</t>
        </is>
      </c>
      <c r="C23" s="8" t="n">
        <v>2</v>
      </c>
      <c r="D23" s="10" t="inlineStr"/>
      <c r="E23" s="10" t="inlineStr">
        <is>
          <t>New</t>
        </is>
      </c>
      <c r="F23" s="8" t="n">
        <v>52</v>
      </c>
      <c r="G23" s="8">
        <f>IF(F23="","",IF(F23&gt;=80,"A — send today",IF(F23&gt;=60,"B — worth a touch",IF(F23&gt;=40,"C — hold","D — reject"))))</f>
        <v/>
      </c>
      <c r="H23" s="8" t="inlineStr">
        <is>
          <t>Cedar Hills Dental Care, P.C.</t>
        </is>
      </c>
      <c r="I23" s="8" t="inlineStr">
        <is>
          <t>Christine</t>
        </is>
      </c>
      <c r="J23" s="8" t="inlineStr">
        <is>
          <t>Chin</t>
        </is>
      </c>
      <c r="K23" s="8" t="inlineStr">
        <is>
          <t>DMD</t>
        </is>
      </c>
      <c r="L23" s="8" t="inlineStr">
        <is>
          <t>info@cedarhillsdentalcare.com</t>
        </is>
      </c>
      <c r="M23" s="8" t="inlineStr">
        <is>
          <t>Generic (info@/office@)</t>
        </is>
      </c>
      <c r="N23" s="8" t="inlineStr">
        <is>
          <t>Likely</t>
        </is>
      </c>
      <c r="O23" s="8" t="inlineStr">
        <is>
          <t>Not found (only the main line +1 503-643-7502 on site/BBB/Healthgrades; BBB also lists fax +1 503-641-4771)</t>
        </is>
      </c>
      <c r="P23" s="8" t="inlineStr">
        <is>
          <t>+1 503-643-7502</t>
        </is>
      </c>
      <c r="Q23" s="8" t="inlineStr">
        <is>
          <t>Dental (family / general dentistry)</t>
        </is>
      </c>
      <c r="R23" s="8" t="inlineStr">
        <is>
          <t>core</t>
        </is>
      </c>
      <c r="S23" s="8" t="inlineStr">
        <is>
          <t>Portland (Cedar Hills, on the Beaverton border)</t>
        </is>
      </c>
      <c r="T23" s="8" t="inlineStr">
        <is>
          <t>OR</t>
        </is>
      </c>
      <c r="U23" s="8" t="inlineStr">
        <is>
          <t>Between Sept 9 and 11, 2026 the practice published 24+ question-form articles ("What Is Considered a Dental Emergency? When to Call a Dentist", "Family Dentist Near Beaverton") — a live investment in being found for exactly the questions people now ask ChatGPT and Gemini, with no FAQPage schema behind it, so the free GEO audit lands on something they are already spending on. 2026 is also year 40 for a "since 1986" practice, and the fall insurance-benefit season sends new-patient and emergency calls into an office that goes dark at 3pm two days a week.</t>
        </is>
      </c>
      <c r="V23" s="8" t="inlineStr">
        <is>
          <t>Family-Legacy Pride Brand (medium confidence); secondary: possible Growth-Minded given the Sept 2026 content push</t>
        </is>
      </c>
      <c r="W23" s="8" t="inlineStr">
        <is>
          <t>Free GEO audit (per Chosen's dental matrix) — then the AI voice receptionist for the after-3pm / weekend / emergency calls as the first machine, with recall-list reactivation as the Accelerate add-on. Door-opener: run the full "Named in X of 28" audit first; build the voice demo from the site (phone-first, D2 = 15, site scrapable) once a reply or Sam connect happens.</t>
        </is>
      </c>
      <c r="X23" s="8" t="inlineStr">
        <is>
          <t>Accelerate</t>
        </is>
      </c>
      <c r="Y23" s="8" t="inlineStr">
        <is>
          <t>Cedar Hills since 1986 — who picks up after 3pm?</t>
        </is>
      </c>
      <c r="Z23" s="8" t="inlineStr">
        <is>
          <t>Your site says it plainly — "Call Us: And We Will Set Up Your Appointment" — and the office closes at 3 on Mondays and Fridays, so I got curious where a new-patient or toothache call lands after that.</t>
        </is>
      </c>
      <c r="AA23" s="8" t="inlineStr">
        <is>
          <t>Missed-call / after-hours coverage first (phone-only booking, same-day emergency promise, 3pm Mon/Fri close, no weekend line, no answering service), then the GEO angle as the second beat: they just published two dozen "near Beaverton" / "when to call a dentist" articles, which is exactly the content AI assistants pull from, but nothing on the site is structured for it. Proof lever: a demo line trained on cedarhillsdentalcare.com she or the front desk can call before paying anything.</t>
        </is>
      </c>
      <c r="AB23" s="8" t="inlineStr">
        <is>
          <t>"Dr. Chin is with patients — send it to info@ and the office manager will look" (expect the front desk to gatekeep; have the one-line forwardable version ready). Also: "We've been here since 1986 on word of mouth, our patients want a real person" — answer: the office still answers every call it can; this only catches the ones that already go to voicemail after 3 and on weekends, and books them.</t>
        </is>
      </c>
      <c r="AC23" s="8" t="inlineStr">
        <is>
          <t>"Hi, this is Sam with Eat 4 Life Marketing — this is a cold call, so feel free to hang up on me. I was on Cedar Hills Dental Care's site: you've been in Cedar Hills since 1986, every appointment gets booked by phone, and the office closes at 3 on Mondays and Fridays. We put an AI receptionist on the line that only catches the calls that already go to voicemail after hours, qualifies the caller, and books them — and we build a demo trained on your own site that you or Dr. Chin can call before anyone pays a dollar. Can I take 20 seconds to tell you how it works, and if it's not a fit you tell me and I'm gone?"</t>
        </is>
      </c>
      <c r="AD23" s="8" t="inlineStr">
        <is>
          <t>Tue–Thu 10:00–11:30 AM PT (dental window per playbook; office open 7:30–5, so the front desk is staffed and past the morning check-in rush; Dr. Chin is chairside so ask for the office manager and a callback window). Backup: Wed 4:30–5:30 PM PT, the only late evening (open to 6pm). Avoid Mon/Fri after 2:30 PM (closes at 3).</t>
        </is>
      </c>
      <c r="AE23" s="8" t="inlineStr">
        <is>
          <t>Mon 7:30am–3pm; Tue 7:30am–5pm; Wed 7:30am–6pm; Thu 7:30am–5pm; Fri 7:30am–3pm; Sat–Sun closed; "BY APPOINTMENT" (site contact page: https://cedarhillsdentalcare.com/contact-us-cedar-hills-dental-care/; GBP hours not reachable this run)</t>
        </is>
      </c>
      <c r="AF23" s="8" t="inlineStr">
        <is>
          <t>America/Los_Angeles (Pacific Time)</t>
        </is>
      </c>
      <c r="AG23" s="8" t="inlineStr">
        <is>
          <t>The main line +1 503-643-7502 is the front desk ("Call Us: And We Will Set Up Your Appointment"); no office manager, scheduler, or staff member is named anywhere public (site About/Team, BBB "Customer Contacts: none", Healthgrades). Dr. Christine Chin is the sole dentist and is chairside all day — do not expect her on the line. Ask for "the office manager" by role, use "Dr. Chin" (not "Dr. Christine" — that is how patients address her in testimonials, keep it formal), and offer the forwardable version: demo number + 20-minute Game Plan Call link. No answering service detected; after 3pm Mon/Fri the line is likely voicemail (not test-called). No owner cell published. BBB fax +1 503-641-4771 (not a contact channel for outreach).</t>
        </is>
      </c>
      <c r="AH23" s="8" t="inlineStr">
        <is>
          <t>The Sept 9–11, 2026 content push: 24+ parent-facing Q&amp;A articles ("What Is Considered a Dental Emergency? When to Call a Dentist", "Family Dentist Near Beaverton", "How Do I Find an Experienced Dentist for My Child Near Beaverton?") — https://cedarhillsdentalcare.com/articles/ and https://cedarhillsdentalcare.com/articles/page/2/. Someone at the practice is actively investing in being found for exactly the questions people now ask ChatGPT/Gemini, yet the site carries no FAQPage schema. Pair with the 40-year milestone ("since 1986").</t>
        </is>
      </c>
      <c r="AI23" s="8" t="inlineStr">
        <is>
          <t>(1) Phone-only booking: "Call Us: And We Will Set Up Your Appointment" and "Book Your Appointment Fast and Easy:" followed only by the phone number — https://cedarhillsdentalcare.com/. (2) Same-day emergency promise vs. limited hours: "In emergency situations, we can see you the same day, if necessary" while hours are Mon/Fri 7:30–3, closed weekends — https://cedarhillsdentalcare.com/contact-us-cedar-hills-dental-care/. (3) Their own new article tells patients to "Call Cedar Hills Dental Care and tell us what's happening" with no after-hours path — https://cedarhillsdentalcare.com/what-is-considered-a-dental-emergency-when-to-call-a-dentist/. (4) No chat, text, booking widget, or auto-reply promise (verified in raw source). (5) Healthgrades profile unclaimed, no responses. No reachability complaints found (Google/Yelp reviews not reachable this run — logged, not inferred).</t>
        </is>
      </c>
      <c r="AJ23" s="8" t="inlineStr">
        <is>
          <t>Content push: 24+ Q&amp;A articles published Sept 9–11, 2026 (e.g. "What Is Considered a Dental Emergency? When to Call a Dentist", "Family Dentist Near Beaverton: Dental Care for Kids, Parents &amp; Adults") — https://cedarhillsdentalcare.com/articles/ and /articles/page/2/ (observed 2026-10-14; within 60 days). 40-year milestone: "since 1986" = 2026 is year 40. Not checked: job posts (Indeed 403, search unavailable), ads, GBP posts.</t>
        </is>
      </c>
      <c r="AK23" s="8" t="inlineStr">
        <is>
          <t>(1) Long-tenured owner-operator identity: "Trusted Dental Care Since 1986", "Over 10,000 Smiles Since 1986!" header — https://cedarhillsdentalcare.com/ (observed 2026-10-14). (2) Reputation-conscious: BBB A+ accredited since 2013, 0 complaints in 3 years — https://www.bbb.org/us/or/portland/profile/dentist/cedar-hills-dental-care-pc-1296-22114551. (3) Warm, patient-first copy: "we want you to feel comfortable taking the next step" — https://cedarhillsdentalcare.com/about-us/. (4) Serves customers the traditional way: phone-only booking "Call Us: And We Will Set Up Your Appointment", no social links, no booking widget — https://cedarhillsdentalcare.com/contact-us-cedar-hills-dental-care/. Contradicting/secondary signal: 24+ SEO-style articles published Sept 9–11, 2026 (https://cedarhillsdentalcare.com/articles/page/2/) shows current investment in search visibility. No review-reply pattern observable (Google not reachable; Healthgrades profile unclaimed with no responses). No Defensive signals found.</t>
        </is>
      </c>
      <c r="AL23" s="8" t="inlineStr">
        <is>
          <t>Self-stated on https://cedarhillsdentalcare.com/about-us/: dental assistant 1979–1982, dental hygienist 1982–1989, DMD Oregon Health Sciences University 1989, practicing dentist 1989–present ("over 35 years"); Oregon State University, Linn-Benton Community College; awards: Outstanding Dental Hygiene Student (1982), International College of Dentists Award (1989); member ADA, Oregon Dental Association, Washington County Dental Society. Every article on the site is credited "Dentally Reviewed by Christine Chin, DMD".</t>
        </is>
      </c>
      <c r="AM23" s="8" t="inlineStr">
        <is>
          <t>Warm, reassuring, non-salesy clinical voice. Verbatim site lines: "a welcoming environment where patients can ask questions"; dental anxiety or long gaps in care "should not keep you from getting the help you need"; "we want you to feel comfortable taking the next step"; "personal attention and experienced clinical judgment" (https://cedarhillsdentalcare.com/about-us/). Testimonials call her "Dr. Christine". Bragging points: "Trusted Since 1986", "Over 10,000 Smiles", BBB A+ accredited since 2013 with 0 complaints, 4.9 on Healthgrades (431 ratings). Tone label: warm_personal / professional. Climbed from assistant to hygienist to dentist — likely values craft and patient trust over hype.</t>
        </is>
      </c>
      <c r="AN23" s="8" t="inlineStr">
        <is>
          <t>Owner-operator</t>
        </is>
      </c>
      <c r="AO23" s="8" t="inlineStr">
        <is>
          <t>Not found (LinkedIn X-ray could not be run — web search budget exhausted this run; no LinkedIn link on the site)</t>
        </is>
      </c>
      <c r="AP23" s="8" t="inlineStr">
        <is>
          <t>Not found. Site has no social links at all (homepage/membership page hrefs checked). BBB links a Facebook page https://www.facebook.com/CedarHillsDentalCare/ (login-walled; activity not observable).</t>
        </is>
      </c>
      <c r="AQ23" s="8" t="inlineStr">
        <is>
          <t>https://cedarhillsdentalcare.com</t>
        </is>
      </c>
      <c r="AR23" s="8" t="inlineStr">
        <is>
          <t>info@cedarhillsdentalcare.com (mailto in site footer/contact/about pages — https://cedarhillsdentalcare.com/contact-us-cedar-hills-dental-care/)</t>
        </is>
      </c>
      <c r="AS23" s="8" t="inlineStr">
        <is>
          <t>1600 SW Cedar Hills Blvd, Suite 107, Portland, OR 97225</t>
        </is>
      </c>
      <c r="AT23" s="8" t="inlineStr">
        <is>
          <t>97225</t>
        </is>
      </c>
      <c r="AU23" s="8" t="inlineStr">
        <is>
          <t>Cedar Hills / Beaverton / west Portland (site copy says "Invisalign Near Beaverton", "Family Dentist Near Beaverton"; no service-area page) — https://cedarhillsdentalcare.com/</t>
        </is>
      </c>
      <c r="AV23" s="8" t="inlineStr">
        <is>
          <t>Not found (Google Maps listing not reachable this run; the site links only the street-address pin: https://www.google.com/maps/place/1600+SW+Cedar+Hills+Blvd+%23+107,+Portland,+OR+97225/@45.5079952,-122.7977305,17z)</t>
        </is>
      </c>
      <c r="AW23" s="8" t="inlineStr">
        <is>
          <t>Not verified (Google Business Profile not reachable this run). Healthgrades: Dr. Christine Chin 4.9/5 — https://www.healthgrades.com/dentist/dr-christine-chin-3jk5p</t>
        </is>
      </c>
      <c r="AX23" s="8" t="inlineStr">
        <is>
          <t>Google: Not found. Healthgrades: 431 ratings (2 written reviews, newest Feb 20 2019), profile unclaimed, "last verified October 3, 2026" — https://www.healthgrades.com/dentist/dr-christine-chin-3jk5p</t>
        </is>
      </c>
      <c r="AY23" s="8" t="inlineStr">
        <is>
          <t>Site: "Trusted Since 1986 &amp; Over 10,000 Smiles!" (https://cedarhillsdentalcare.com/). BBB structured data: founding date June 1, 1975; BBB Accredited Since Jan 22, 2013 (https://www.bbb.org/us/or/portland/profile/dentist/cedar-hills-dental-care-pc-1296-22114551). CONFLICT (1975 vs 1986, &gt;2 yrs apart); Dr. Chin's DMD is 1989, so the practice likely predates her ownership — hypothesis only, not confirmed. Use "since 1986" (the practice's own claim) in outreach.</t>
        </is>
      </c>
      <c r="AZ23" s="8" t="inlineStr">
        <is>
          <t>Not found — sole dentist; site refers to "her hygienists" and "her staff" (plural) but names no one; BBB lists no employee count; LinkedIn/Indeed not reachable</t>
        </is>
      </c>
      <c r="BA23" s="8" t="inlineStr">
        <is>
          <t>1 (one address on site, BBB and the Oregon P.C. record; a separate "Cedar Hills Family Dental Care, L.L.C." entity is listed INACTIVE on OpenCorporates — https://opencorporates.com/companies?q=Cedar+Hills+Dental+Care&amp;jurisdiction_code=us_or)</t>
        </is>
      </c>
      <c r="BB23" s="8" t="inlineStr">
        <is>
          <t>Family dentistry (children + adults), Invisalign, porcelain crowns, pediatric-focused content, in-house Dental Membership Plan ($439/yr first member, $328/yr additional, $493/yr perio plan, 15% off additional treatment — brochure PDF https://cedarhillsdentalcare.com/wp-content/uploads/2023/05/Cedar-Hills-Dental_Inside_OutSide_2023-00_Stack.pdf); online patient registration/payments via ident.ws portal — https://cedarhillsdentalcare.com/membership-plan/</t>
        </is>
      </c>
      <c r="BC23" s="8" t="inlineStr">
        <is>
          <t>basic — SSL, WordPress 7.1.3 / Elementor / Astra theme / WP Rocket / Yoast (raw source 2026-10-14), online new-patient registration and online payments via ident.ws portal (https://cedarhillsdentalcare.com/membership-plan/), but no online scheduling, no chat, no text-us, no review-request tool, no pixels</t>
        </is>
      </c>
      <c r="BD23" s="8" t="inlineStr">
        <is>
          <t>diy / unknown — no agency credit (footer reads "Powered by Cedarhills Dental Care"), no GTM/gtag/fbq/CallRail in source, no ads detectable (Meta Ad Library and Google Ads Transparency not checkable this run); the 24-article batch on Sept 9–11, 2026 suggests a content vendor or tool but none is credited</t>
        </is>
      </c>
      <c r="BE23" s="8" t="inlineStr">
        <is>
          <t>established — practice since 1986, single location, sole dentist, 431 Healthgrades ratings, fresh site content Sept 2026; no hiring or expansion evidence found (job boards not reachable)</t>
        </is>
      </c>
      <c r="BF23" s="8" t="inlineStr">
        <is>
          <t>unknown on Google (GBP not reachable). Healthgrades: none — profile unclaimed, no provider responses (https://www.healthgrades.com/dentist/dr-christine-chin-3jk5p). BBB: 0 customer reviews, 0 complaints.</t>
        </is>
      </c>
      <c r="BG23" s="8" t="inlineStr">
        <is>
          <t>No after-hours, answering-service, voicemail, text, or emergency-line statement anywhere on the home, about, contact, membership, or dental-emergency article pages (logged null, checked 2026-10-14). Contact page: "In emergency situations, we can see you the same day, if necessary." Office closes 3pm Mon/Fri, 5pm Tue/Thu, 6pm Wed; closed Sat/Sun. The emergency article repeatedly says "Call Cedar Hills Dental Care and tell us what's happening" / "call (503) 643-7502 and describe what is happening" with no evening/weekend instruction — https://cedarhillsdentalcare.com/what-is-considered-a-dental-emergency-when-to-call-a-dentist/</t>
        </is>
      </c>
      <c r="BH23" s="8" t="inlineStr">
        <is>
          <t>No. "Schedule an Appointment" buttons resolve to tel:(503)643-7502 or an on-page #appointment anchor; footer: "Call Us: And We Will Set Up Your Appointment". Only a new-patient registration/payment portal (ident.ws), not scheduling — https://cedarhillsdentalcare.com/membership-plan/</t>
        </is>
      </c>
      <c r="BI23" s="8" t="inlineStr">
        <is>
          <t>None — raw homepage source (194 KB, fetched 2026-10-14) contains no chat/text/booking vendor scripts (checked podium, birdeye, weave, nexhealth, localmed, zocdoc, solutionreach, revenuewell, calendly, tidio, intercom, tawk, leadconnector, hubspot, prosites, patientpop, tebra)</t>
        </is>
      </c>
      <c r="BJ23" s="8" t="inlineStr">
        <is>
          <t>WordPress 7.1.3, Elementor 4.3.5, Astra theme, WP Rocket 3.18.3, Yoast SEO; ident.ws patient registration/online-pay portal; JSON-LD: WebSite, MedicalOrganization, ContactPoint, ImageObject (no FAQPage, no LocalBusiness); robots.txt allows all crawlers (no GPTBot/ClaudeBot block). No GTM, gtag, fbq, CallRail, Hotjar, answering-service or AI-receptionist scripts. No agency footer credit.</t>
        </is>
      </c>
      <c r="BK23" s="8" t="inlineStr">
        <is>
          <t>Not checked — Meta Ad Library and Google Ads Transparency Center could not be queried this run (web search budget exhausted; JS-gated pages). Page source shows no gclid/UTM/call-tracking or pixel evidence of paid media.</t>
        </is>
      </c>
      <c r="BL23" s="8" t="inlineStr">
        <is>
          <t>Not checked — the two AI money-question spot checks ("best dentist in Beaverton OR taking new patients", "emergency dentist near Cedar Hills Beaverton OR same day") could not be run this turn (shared web search budget exhausted). Schema check done: no FAQPage/LocalBusiness JSON-LD. Run the free GEO audit before first touch.</t>
        </is>
      </c>
      <c r="BM23" s="8" t="inlineStr">
        <is>
          <t>PASS — Chain/franchise: no (one location; independent Oregon Domestic Professional Corporation, OpenCorporates Active, registered agent Christine M Chin at practice address; not a DSO). Website: own domain, HTTPS, loads (200). Live US business: BBB A+ accredited since 2013, 0 complaints; content published Sept 2026; entity Active. Inbound channel: phone on every page + patient portal. Competitor/non-buyer: no (general dentist). Already automated on both fronts: no (no AI receptionist, no FAQPage schema, no GEO vendor). E4L suppression: grep of suppression.csv and seen.csv clean for domain, name and owner (GHL ghl-contacts.js dedupe not run). No "no solicitation" notice found.</t>
        </is>
      </c>
      <c r="BN23" s="8" t="inlineStr">
        <is>
          <t>D1 Decision-maker: 8/20 — full name + role cited from two sources (BBB "Dr. Christine M. Chin, President"; OpenCorporates registered agent "CHRISTINE M CHIN" at practice address; site "Christine Chin, DMD") but only a generic info@ mailbox; no direct line, no LinkedIn found. | D2 Phone gap: 15/15 — phone-first (tel: in header, "Call Us: And We Will Set Up Your Appointment", no booking widget) + cited gap: "In emergency situations, we can see you the same day" vs hours Mon/Fri 7:30–3pm, closed Sat/Sun, and no answering service/24-7 mention anywhere (logged null). | D3 Leak evidence: 5/15 — exactly 1 signal type: booking/contact friction verified in source (no scheduling, no chat/text, no response-time promise); review complaints, job posts and reply-rate not observable this run (Google/Yelp/Indeed unreachable; Healthgrades has only 2 written reviews). | D4 AI visibility: 0/10 — NO EVIDENCE: no AI platform could be checked this run (search budget exhausted); schema check shows no FAQPage/LocalBusiness, so if the audit returns "named in 0" this becomes 10. | D5 ICP fit: 15/15 — independently owned single-location P.C. with named owner (OpenCorporates Active; BBB), core dental niche, 3 ability proxies: since 1986 + BBB accredited 2013; 431 Healthgrades ratings; high-ticket services (Invisalign, crowns) and a paid membership plan ($439–$493/yr). | D6 Timing/spend: 3/15 — soft activity only: dated content push Sept 9–11, 2026 (not an enumerated trigger type); spend checklist: no GTM/pixel/CallRail, no agency credit, Google Ads/LSA/Meta not checkable (logged). First-agency opportunity. | D7 Attitude/stack: 6/10 — net 2 positives (modern maintained site: Elementor/WP Rocket, content dated Sept 2026; patient portal with online registration/payments), no negatives, no incumbent agency; review replies unobservable. | TOTAL 52 = WATCH band on the rubric; status TRUSTED-eligible (6 of 7 dimensions carry evidence, D1 positive, D2 direct quote, D5 cited) except GHL dedupe (ghl-contacts.js) was not run — suppression.csv and seen.csv were grepped clean. One GEO spot check with the practice unnamed moves this to 62 (QUALIFIED).</t>
        </is>
      </c>
      <c r="BO23" s="8" t="inlineStr">
        <is>
          <t>https://cedarhillsdentalcare.com/contact-us-cedar-hills-dental-care/, https://cedarhillsdentalcare.com/, https://cedarhillsdentalcare.com/about-us/, https://www.bbb.org/us/or/portland/profile/dentist/cedar-hills-dental-care-pc-1296-22114551, https://opencorporates.com/companies/us_or/53918281, https://opencorporates.com/companies?q=Cedar+Hills+Dental+Care&amp;jurisdiction_code=us_or, https://www.healthgrades.com/dentist/dr-christine-chin-3jk5p, https://www.healthgrades.com/dentistry-general-directory/or-oregon/beaverton, https://cedarhillsdentalcare.com/articles/, https://cedarhillsdentalcare.com/articles/page/2/, https://cedarhillsdentalcare.com/what-is-considered-a-dental-emergency-when-to-call-a-dentist/, https://cedarhillsdentalcare.com/membership-plan/, https://cedarhillsdentalcare.com/wp-content/uploads/2023/05/Cedar-Hills-Dental_Inside_OutSide_2023-00_Stack.pdf, https://cedarhillsdentalcare.com/robots.txt, https://www.facebook.com/CedarHillsDentalCare/</t>
        </is>
      </c>
      <c r="BP23" s="8" t="inlineStr">
        <is>
          <t>Medium</t>
        </is>
      </c>
      <c r="BQ23" s="8" t="inlineStr">
        <is>
          <t>Title detail: DMD, President (BBB "Business Management: Dr. Christine M. Chin, President"); Registered Agent of Cedar Hills Dental Care, P.C. at the practice address (OpenCorporates); sole dentist named on the site ("Meet Your Dentist Christine Chin, DMD"). Band is WATCH at 52 only because the AI spot check could not be run this turn (search budget) — D4 is 0/10 as NO EVIDENCE, not as a finding. Run one GEO money question (e.g. "emergency dentist near Beaverton, OR") on ChatGPT + Gemini; if unnamed, the row is 62 QUALIFIED with a TRUSTED-eligible evidence set. Route: call-first (Sam) with the info@ email as the secondary channel — D1 = 8 (named owner, generic mailbox), no personal email, so do not spend an email slot until the front desk gives a name. Confirm GHL dedupe (ghl-contacts.js) before loading; suppression.csv and seen.csv are clean. Founding-year CONFLICT (BBB 1975 vs site 1986) — use "since 1986" only. The Sept 2026 content push could reasonably be argued as a site-refresh trigger (+8 on D6 to 60); I scored it conservatively as soft activity so Rozel can decide. Keep health details minimal in copy; never quote reviews (none found anyway). Not checked this run and worth a 2-minute pass later: Google reviews/reply rate, Yelp, Indeed/LinkedIn job posts, Meta Ad Library, owner LinkedIn. Do not record the family details that appear on the About page.</t>
        </is>
      </c>
      <c r="BR23" s="10" t="inlineStr"/>
      <c r="BS23" s="10" t="inlineStr"/>
      <c r="BT23" s="10" t="inlineStr"/>
    </row>
    <row r="24" ht="120" customHeight="1">
      <c r="A24" s="8" t="inlineStr">
        <is>
          <t>20261013-23</t>
        </is>
      </c>
      <c r="B24" s="8" t="inlineStr">
        <is>
          <t>2026-10-13</t>
        </is>
      </c>
      <c r="C24" s="8" t="n">
        <v>2</v>
      </c>
      <c r="D24" s="10" t="inlineStr"/>
      <c r="E24" s="10" t="inlineStr">
        <is>
          <t>New</t>
        </is>
      </c>
      <c r="F24" s="8" t="n">
        <v>52</v>
      </c>
      <c r="G24" s="8">
        <f>IF(F24="","",IF(F24&gt;=80,"A — send today",IF(F24&gt;=60,"B — worth a touch",IF(F24&gt;=40,"C — hold","D — reject"))))</f>
        <v/>
      </c>
      <c r="H24" s="8" t="inlineStr">
        <is>
          <t>Rideout Plumbing</t>
        </is>
      </c>
      <c r="I24" s="8" t="inlineStr">
        <is>
          <t>Jason</t>
        </is>
      </c>
      <c r="J24" s="8" t="inlineStr">
        <is>
          <t>Rideout</t>
        </is>
      </c>
      <c r="K24" s="8" t="inlineStr">
        <is>
          <t>President/General Manager</t>
        </is>
      </c>
      <c r="L24" s="8" t="inlineStr">
        <is>
          <t>Not found</t>
        </is>
      </c>
      <c r="M24" s="8" t="inlineStr">
        <is>
          <t>None found</t>
        </is>
      </c>
      <c r="N24" s="8" t="inlineStr">
        <is>
          <t>Not found</t>
        </is>
      </c>
      <c r="O24" s="8" t="inlineStr">
        <is>
          <t>Not found (only the main line +1 704-375-0780, which the site frames first-person: "Have a plumbing problem? Send me a text to (704) 375-0780" — the number may reach the owner directly but the site does not say whose phone it is)</t>
        </is>
      </c>
      <c r="P24" s="8" t="inlineStr">
        <is>
          <t>+1 704-375-0780 (main line; same number on website header, BBB, BuildZoom and the "Send me a text" banner — advertised as textable, so treat as possible cell: manual human dial only, no automated SMS/AI voice)</t>
        </is>
      </c>
      <c r="Q24" s="8" t="inlineStr">
        <is>
          <t>Plumbing</t>
        </is>
      </c>
      <c r="R24" s="8" t="inlineStr">
        <is>
          <t>core</t>
        </is>
      </c>
      <c r="S24" s="8" t="inlineStr">
        <is>
          <t>Charlotte</t>
        </is>
      </c>
      <c r="T24" s="8" t="inlineStr">
        <is>
          <t>NC</t>
        </is>
      </c>
      <c r="U24" s="8" t="inlineStr">
        <is>
          <t>The owner is touching the site right now (About/Home edited Sept 22 and 29, 2026 with the rebrand story), nobody is selling them marketing (no agency credit, no ads observed, ©2019 footer), and Charlotte's frozen-pipe season starts within weeks while the site still promises 24-hour service on a 3-person team.</t>
        </is>
      </c>
      <c r="V24" s="8" t="inlineStr">
        <is>
          <t>Family-Legacy Pride Brand (medium confidence; secondary possible: Overwhelmed Owner-Operator)</t>
        </is>
      </c>
      <c r="W24" s="8" t="inlineStr">
        <is>
          <t>Voice AI live demo built from rideoutplumbing.com, emergency/after-hours angle (burst pipe at 2am); DEMO PATH / call-first since no email exists. Second wedge once in conversation: AI-readable site + GEO (no FAQ/LocalBusiness schema; Julian's/Rideout brand split)</t>
        </is>
      </c>
      <c r="X24" s="8" t="inlineStr">
        <is>
          <t>Recover</t>
        </is>
      </c>
      <c r="Y24" s="8" t="inlineStr">
        <is>
          <t>Who answers Rideout Plumbing's line after 6pm?</t>
        </is>
      </c>
      <c r="Z24" s="8" t="inlineStr">
        <is>
          <t>Your About page says the Rideout name now carries forward Charlotte plumbing roots that go back to 1981, with 24-hour service sitting on top of 6am-to-6pm hours, so I'm curious who picks up the 2am burst-pipe call.</t>
        </is>
      </c>
      <c r="AA24" s="8" t="inlineStr">
        <is>
          <t>"Jason, your site promises 24-hour service and your hours read 6 to 6, so who's catching the calls after six right now, you or voicemail? We built a demo receptionist from rideoutplumbing.com that answers like your front desk, gets the caller's name, address and what's leaking, and books the visit; you can call it and hear it before you spend a dollar. Going live is one call-forwarding rule for missed or busy calls, and it rolls back with one dial code." Ask #1: 20-minute Game Plan Call; Ask #2: an email address for the free AI visibility audit (none is public).</t>
        </is>
      </c>
      <c r="AB24" s="8" t="inlineStr">
        <is>
          <t>"We're a family shop; our customers want a real person, and we handle our own phones." Answer: a real person still answers every call you can; the line only catches the ones that already roll to voicemail after six or while you're under a sink, and it's trained on your own 1981 story so callers still hear Rideout, not a robot script.</t>
        </is>
      </c>
      <c r="AC24" s="8" t="inlineStr">
        <is>
          <t>"Hi, is this Jason? Jason, this is Sam with Eat 4 Life Marketing. Full disclosure, this is a cold call, so feel free to hang up, but give me 20 seconds and you decide. I was on rideoutplumbing.com this morning. Your About page says Rideout carries Charlotte plumbing roots back to 1981, hours are 6 to 6 seven days, and there's 24-hour service on top of that. With a three-man crew, I'm curious who catches the burst-pipe call at 2 AM right now, you, voicemail, or nobody? Reason I ask: we build a demo receptionist trained on your own site that answers those calls, gets the caller's name, address, and what's leaking, and books the visit, and you can call it and hear it before you ever pay a dollar. Would 20 minutes with Sebastian to hear it be worth your time, or is this the wrong week?"</t>
        </is>
      </c>
      <c r="AD24" s="8" t="inlineStr">
        <is>
          <t>Tue-Thu 7:00-8:00 AM ET, right after the 6 AM open and before the first job of the day; backup window 4:30-5:45 PM ET as trucks wrap up before the 6 PM close. Reason: BBB shows 3 employees and no office staff, dispatcher, or answering service is named anywhere, and the site's "Send me a text" line is written in first person, so the main line most likely rings to Jason's own phone; mid-day he is probably under a sink. Avoid Mondays (post-weekend emergency backlog) and avoid calling after 6 PM, since GBP says 24 hours and that call would be the very after-hours call you are pitching about.</t>
        </is>
      </c>
      <c r="AE24" s="8" t="inlineStr">
        <is>
          <t>Mon-Sun 6:00 AM-6:00 PM per the About page (rideoutplumbing.com/about-us/), which also says "24-hour service available"; the home page says "We provide 24-hour plumbing services." The Google Business Profile (as mirrored by the serviceagent.ai directory) shows "Open 24 hours" every day. BBB lists no hours.</t>
        </is>
      </c>
      <c r="AF24" s="8" t="inlineStr">
        <is>
          <t>ET</t>
        </is>
      </c>
      <c r="AG24" s="8" t="inlineStr">
        <is>
          <t>No office manager, dispatcher, or answering service is named on the site, BBB, BuildZoom, or the GBP-sourced directory; BBB lists 3 employees. The only published number is the main line 704-375-0780, which the site presents first-person ("Send me a text to (704) 375-0780"), so expect Jason or a tech to pick up directly; treat it as a possible personal cell: manual human dial only, no automated SMS or AI-voice contact. The home page carries an "Ask for Chason" graphic with no stated role, so if a Chason answers, treat him as the likely front line, ask for Jason by name, and log Chason's role. Second decision-maker: Jeff Julian co-built the business and the LLC was formerly Jeff Julian Plumbing, LLC; his current involvement is not stated, so if Jeff answers, pitch him as a decision-maker too. The business is "veteran-led" but no page says who served, so do not attribute it to Jason. If it rolls to voicemail, leave a 15-second message using the 6-to-6 vs 24-hour hook and the demo-line offer, then retry in the next morning window; do not text.</t>
        </is>
      </c>
      <c r="AH24" s="8" t="inlineStr"/>
      <c r="AI24" s="8" t="inlineStr">
        <is>
          <t>(a) Hours gap: "24-hour service available" + "Monday – Sunday: 6:00AM – 6:00PM" on the same About page; GBP shows "Open 24 hours" (directory); 3 employees per BBB; no answering service/AI named anywhere — who takes the 2am call is undefined. (b) Booking/contact friction: no online scheduling, no chat, form with no response-time promise; only phone/text. (c) Brand confusion: home page logo alt text "Julian's Plumbing Logo", Reviews page headed "Rideout Plumbing" but every review links "Read [name]'s review of Julians Plumbing on Yelp"; legacy juliansplumbing FB/IG still linked in the footer. (d) Stale shell: footer "©2019 ." (no company name), no FAQ/LocalBusiness schema. (e) Review-text complaints: none readable — Google, Yelp (403), BBB review text not rendered; logged null</t>
        </is>
      </c>
      <c r="AJ24" s="8" t="inlineStr">
        <is>
          <t>(1) Site content refresh: About page dateModified 2026-09-22 and Home 2026-09-29 (Yoast JSON-LD) — the rebrand story "now under the Rideout family name" is being actively edited, within 60 days (soft trigger; not a redesign). (2) Entity/name transition: NC registry (via OpenCorporates) lists previous name "Jeff Julian Plumbing, LLC" — ownership/brand change to Rideout; date not visible. (3) BBB accreditation 2024-10-04 under the Rideout name. (4) Seasonal (inferred only): Charlotte frozen-pipe/water-heater season Nov-Feb approaching. Hiring: no careers page in sitemap; Indeed blocked (403) — Not found</t>
        </is>
      </c>
      <c r="AK24" s="8" t="inlineStr">
        <is>
          <t>(1) About page (edited 2026-09-22): "Our roots in Charlotte plumbing date back to 1981... now under the Rideout family name" and section "Meet Our Family" — https://rideoutplumbing.com/about-us/ ; (2) BBB description "veteran-led and family-owned", A+ Accredited since 2024-10-04 (reputation-conscious) — https://www.bbb.org/us/nc/charlotte/profile/plumber/rideout-plumbing-0473-113290 ; (3) dated-but-maintained site: footer "©2019", theme still named "julian", Yoast dateModified 2026-09-22 (About) and 2026-09-29 (Home) — page source; (4) Facebook/Instagram-centric social, no LinkedIn company page (404) — site footer + linkedin.com/company/rideout-plumbing. Secondary (Overwhelmed) cues: 3 employees (BBB) carrying a "24-hour service available" claim; first-person "Send me a text" CTA; no booking/chat. Contradicting signals: none found. Review-response patterns could not be sampled (Google/Yelp blocked), so confidence stays medium</t>
        </is>
      </c>
      <c r="AL24" s="8" t="inlineStr">
        <is>
          <t>Self-stated on About page: "For nearly three decades, Jason Rideout and Jeff Julian built the company together under the Julian's Plumbing name, earning the trust of Charlotte-area customers through honest service and quality workmanship. Today, Rideout Plumbing proudly carries that history forward... now under the Rideout family name." Business self-describes as "veteran-led, family-owned" (About page + BBB description; Veteran Owned Business badge uploaded 2019-08) — the site does NOT say which person served; do not attribute military service to Jason without confirmation. Registry shows the LLC's previous name "Jeff Julian Plumbing, LLC" (ownership/name transition to Rideout; date not visible). Prior career, trade school, podcasts/interviews: Not found (searches unavailable this run; nothing on site or BBB)</t>
        </is>
      </c>
      <c r="AM24" s="8" t="inlineStr">
        <is>
          <t>Tone: warm legacy brand with a sense of humor. Voice lines: tagline "Where a Flush Beats a Full House"; "The Most Trusted Plumber in Charlotte"; "honest advice, quality workmanship"; About section titled "Meet Our Family"; first-person CTA "Have a plumbing problem? Send me a text". Brag points: Licensed, Bonded and Insured; Veteran Owned Business badge; BBB A+ Accredited (since 2024-10-04, 0 complaints); 1981 roots; 24-hour service. Awards/sponsorships/podcasts: none on site or BBB; Not found elsewhere (search unavailable). Review-reply style: unknown (Google/Yelp review pages blocked logged-out). Home page carries an "Ask for Chason" graphic (person named Chason, role not stated)</t>
        </is>
      </c>
      <c r="AN24" s="8" t="inlineStr">
        <is>
          <t>Owner-operator</t>
        </is>
      </c>
      <c r="AO24" s="8" t="inlineStr">
        <is>
          <t>Not found (linkedin.com/company/rideout-plumbing returns 404; /in/jason-rideout redirects to a ca.linkedin.com profile that could not be loaded (HTTP 999) and is not tied to Charlotte — do not use; web search X-ray unavailable this run)</t>
        </is>
      </c>
      <c r="AP24" s="8" t="inlineStr">
        <is>
          <t>Business only: https://www.facebook.com/rideoutplumbing, https://www.instagram.com/rideoutplumbing (both linked from site and BBB); legacy pages still linked from site: https://www.facebook.com/juliansplumbing, https://instagram.com/juliansplumbing/. Post cadence/followers not viewable logged-out (FB login wall, IG 429). Personal socials: Not found</t>
        </is>
      </c>
      <c r="AQ24" s="8" t="inlineStr">
        <is>
          <t>https://rideoutplumbing.com/</t>
        </is>
      </c>
      <c r="AR24" s="8" t="inlineStr">
        <is>
          <t>Not found (no mailto:, no @rideoutplumbing.com string on home/about/contact/reviews source; BBB lists no email; contact is a Ninja Forms form + phone + text). Domain MX present: mx1/mx2/mx3-usg1.ppe-hosted.com</t>
        </is>
      </c>
      <c r="AS24" s="8" t="inlineStr">
        <is>
          <t>4224 Park Rd, Charlotte, NC 28209 (BuildZoom license record; BBB shows Charlotte 28209). Registered-agent mailing address per NC registry via OpenCorporates: P.O. Box 6900, Concord, NC 28027</t>
        </is>
      </c>
      <c r="AT24" s="8" t="inlineStr">
        <is>
          <t>28209</t>
        </is>
      </c>
      <c r="AU24" s="8" t="inlineStr">
        <is>
          <t>Charlotte metro, 23 cities listed on About page: Charlotte, Concord, Cornelius, Davidson, Denver, Lake Norman, Harrisburg, Huntersville, Lake Wylie, Indian Trail, Kannapolis, Stallings, Locust, Marvin, Matthews, Mineral Springs, Mint Hill, Monroe, Mooresville, Mt. Pleasant, Pineville, Tega Cay, Waxhaw</t>
        </is>
      </c>
      <c r="AV24" s="8" t="inlineStr">
        <is>
          <t>Not directly verified this run. Search link: https://www.google.com/maps/search/?api=1&amp;query=Rideout+Plumbing+4224+Park+Rd+Charlotte+NC+28209 (serviceagent.ai directory gives coordinates-only link https://www.google.com/maps?q=35.2705496,-80.7391876)</t>
        </is>
      </c>
      <c r="AW24" s="8" t="inlineStr">
        <is>
          <t>4.8 (per serviceagent.ai directory, stated as Google data; not verified on Google directly this run). BBB rating A+, Accredited since 2024-10-04</t>
        </is>
      </c>
      <c r="AX24" s="8" t="inlineStr">
        <is>
          <t>174 Google reviews (directory-reported, unverified); 11 BBB customer reviews; 0 BBB complaints in last 3 years; 10 Yelp reviews linked from the site's Reviews page (Yelp listing "julians-plumbing-charlotte-6")</t>
        </is>
      </c>
      <c r="AY24" s="8" t="inlineStr">
        <is>
          <t>1981 — site: "Our roots in Charlotte plumbing date back to 1981"; BBB foundingDate 1981-02-14 (~45 years). Site: "For nearly three decades, Jason Rideout and Jeff Julian built the company together under the Julian's Plumbing name." LLC formation date not visible without OpenCorporates login — Not found</t>
        </is>
      </c>
      <c r="AZ24" s="8" t="inlineStr">
        <is>
          <t>3 employees (BBB "Number of Employees: 3")</t>
        </is>
      </c>
      <c r="BA24" s="8" t="inlineStr">
        <is>
          <t>1 (single Charlotte location; no "locations" page in sitemap; not a franchise)</t>
        </is>
      </c>
      <c r="BB24" s="8" t="inlineStr">
        <is>
          <t>Plumbing repairs/installations and re-piping; toilet/drain/kitchen &amp; bath; sewer and water line repair/installation; drain cleaning, high-pressure jetting, camera inspection; water heaters (electric, gas, tankless); water filtration; slab and yard leaks; 24-hour emergency service (site pages: /plumbing-services/, /water-heaters/, /water-sewer/, /slab-yard-leaks/, /water-filtration-in-charlotte-nc/, /kitchen-bath/)</t>
        </is>
      </c>
      <c r="BC24" s="8" t="inlineStr">
        <is>
          <t>basic — SSL, WordPress/Elementor, Ninja Forms contact form, GTM + gtag, text-us CTA (plain text banner, no sms: link/widget); no online booking, no chat, no review-request tooling, no FAQPage/LocalBusiness schema (only Yoast Organization/WebSite/WebPage graph); ©2019 footer; MX on Proofpoint Essentials (ppe-hosted.com)</t>
        </is>
      </c>
      <c r="BD24" s="8" t="inlineStr">
        <is>
          <t>diy — no agency credit ("Proudly powered by WordPress"), no call tracking, no Meta pixel, no financing partner, no careers page; GTM only. Ads: not observed (see ads_running)</t>
        </is>
      </c>
      <c r="BE24" s="8" t="inlineStr">
        <is>
          <t>established (since 1981; 174 directory-reported Google reviews; 3 employees) with plateau cues: ©2019 footer, legacy "Julian's Plumbing" assets still live on the site, no hiring observed — but pages were edited Sept 2026</t>
        </is>
      </c>
      <c r="BF24" s="8" t="inlineStr">
        <is>
          <t>unknown — Google review text and Yelp listing (yelp.com/biz/julians-plumbing-charlotte-6) could not be loaded logged-out (403); BBB shows 11 reviews, 0 complaints, review text not rendered</t>
        </is>
      </c>
      <c r="BG24" s="8" t="inlineStr">
        <is>
          <t>Unknown who answers after hours. Site: "24-hour service available" and "Emergency Service – We provide 24-hour plumbing services for your convenience" alongside About-page hours "Monday – Sunday: 6:00AM – 6:00PM" (https://rideoutplumbing.com/about-us/, https://rideoutplumbing.com/). GBP hours per serviceagent.ai directory: "Open 24 hours" every day. No answering service, call center, or AI receptionist mentioned anywhere on the site or in page source. BBB: 3 employees. Contact form (Ninja Forms) shows no response-time promise</t>
        </is>
      </c>
      <c r="BH24" s="8" t="inlineStr">
        <is>
          <t>N — hero "Schedule Service" button links to /contact-us/ (Ninja Forms form); no scheduling vendor script (no ServiceTitan/Housecall Pro/Jobber/Calendly in source)</t>
        </is>
      </c>
      <c r="BI24" s="8" t="inlineStr">
        <is>
          <t>No chat widget. Text CTA only: "Have a plumbing problem? Send me a text to (704) 375-0780" (plain banner; no sms: href, no texting platform script)</t>
        </is>
      </c>
      <c r="BJ24" s="8" t="inlineStr">
        <is>
          <t>WordPress (custom theme "julian" + Elementor), Ninja Forms, Yoast SEO schema graph, Google Tag Manager + gtag; no CallRail/CTM, no Meta pixel, no Hotjar, no booking/chat/review tools, no agency footer credit, no financing partner; email MX = Proofpoint Essentials (ppe-hosted.com); juliansplumbing.com 301s to rideoutplumbing.com</t>
        </is>
      </c>
      <c r="BK24" s="8" t="inlineStr">
        <is>
          <t>Not observed. Checked: Google Ads Transparency Center page for rideoutplumbing.com rendered no advertiser data (JS shell); Meta Ad Library returned 403; LSA/"Sponsored" SERP checks not possible (web search budget exhausted this run); no gclid/CallRail/pixel on site. Yelp ads: listing blocked (403)</t>
        </is>
      </c>
      <c r="BL24" s="8" t="inlineStr">
        <is>
          <t>not checked — web search quota was exhausted this run and no AI platform (ChatGPT/Perplexity/Gemini) could be queried; D4 scored 0 / NO EVIDENCE. Schema note for the audit: no FAQPage or LocalBusiness JSON-LD on the site, and the Reviews page still links to the Yelp listing of "Julians Plumbing" (brand split that an AI answer may not reconcile)</t>
        </is>
      </c>
      <c r="BM24" s="8" t="inlineStr">
        <is>
          <t>PASS. Chain/franchise: no (independent domestic NC LLC, 1 location, no franchise language, not on CHAIN_HINTS list). Website: live, HTTP 200 on own domain, robots allows all crawlers. Live US business: NC registry status "Current Active" (OpenCorporates #1345126), BBB A+ Accredited since 2024-10-04, license #20687 active (BuildZoom, Jan 2026), site pages edited Sept 2026. Inbound channel: phone + text + Ninja Forms contact form. Not a competitor/non-buyer. No competing AI receptionist detected in source. Suppression list: no match on "rideout" or domain (only unrelated "julianna@" row). GHL dedupe: not run from this agent.</t>
        </is>
      </c>
      <c r="BN24" s="8" t="inlineStr">
        <is>
          <t>D1 Decision-maker: 8/20 — Full name + role CONFIRMED (Jason Rideout, President/General Manager on BBB; Registered Agent on NC registry via OpenCorporates; named on About page) but no published email, no owner direct line, no LinkedIn: form/phone-only → DEMO PATH, call-first. | D2 Phone/after-hours gap: 15/15 — phone-first (tel: header, "Send me a text", no booking) + quoted gap: "24-hour service available" vs "Monday – Sunday: 6:00AM – 6:00PM" (About page), GBP "Open 24 hours" (directory), no answering service/AI anywhere, 3 employees (BBB); plumbing = inherently urgent niche. | D3 Lead-response leak: 5/15 — exactly 1 signal type: booking/contact friction (no scheduling, no chat, form without response promise, verified in source). Review complaints/job posts/reply rate/Yelp badges: logged null — Google reviews, Yelp (403), Indeed (403), BBB review text unavailable; BBB 0 complaints. | D4 AI search visibility: 0/10 — NO EVIDENCE: no platform could be checked this run (search quota exhausted); site has no FAQPage/LocalBusiness schema (noted, not scored). | D5 ICP fit/ability to pay: 15/15 — independent single-location LLC, named owner, "family-owned"/"veteran-led"; core plumbing niche; proxies: since 1981 (site + BBB 1981-02-14), 100+ reviews (174 per directory, unverified), 23-city service area + 24-hour service, plumbing water-heater/repipe ticket $1.5-5k (rubric reference). | D6 Timing/spend: 3/15 — soft activity only: pages edited 2026-09-22/29, BBB accreditation 2024-10-04, name change from Jeff Julian Plumbing LLC (undated); spend checklist: Google Ads (not renderable), LSA (not checked), Meta Ad Library (403), agency/pixels/call tracking (none in source), paid directories (Yelp blocked) → first-agency opportunity. | D7 Attitude/stack: 6/10 — positives: text-us CTA, BBB A+ accreditation + rebrand posture; negative: "©2019" footer (4+ yrs stale) and leftover Julian's branding; no incumbent agency; review replies unobservable. TOTAL 52 → band WATCH (35-54); evidence on 6/7 dimensions, D1 positive, D2 direct — would be TRUSTED except GHL 'E4L Services' dedupe could not be run from this agent. Blocker = D4 (not run): one GEO money question moves this to QUALIFIED (62) if named in 0 of 6.</t>
        </is>
      </c>
      <c r="BO24" s="8" t="inlineStr">
        <is>
          <t>https://rideoutplumbing.com/about-us/, https://rideoutplumbing.com/, https://www.bbb.org/us/nc/charlotte/profile/plumber/rideout-plumbing-0473-113290, https://opencorporates.com/companies/us_nc/1345126, https://www.buildzoom.com/contractor/rideout-plumbing, https://rideoutplumbing.com/contact-us/, https://rideoutplumbing.com/reviews/, https://serviceagent.ai/directory/new-york/charlotte-nc/plumbing/rideout-plumbing/, https://rideoutplumbing.com/page-sitemap.xml, https://www.yelp.com/biz/julians-plumbing-charlotte-6, https://www.facebook.com/rideoutplumbing, https://www.instagram.com/rideoutplumbing, https://public.nclicensing.org/Public/Search</t>
        </is>
      </c>
      <c r="BP24" s="8" t="inlineStr">
        <is>
          <t>Medium</t>
        </is>
      </c>
      <c r="BQ24" s="8" t="inlineStr">
        <is>
          <t>Title detail: President/General Manager (BBB Business Management); Registered Agent of Rideout Plumbing LLC (NC registry via OpenCorporates); named on About page as co-builder of the company. CONFIRMED name (3 sources); role from BBB + registry. Legal entity note: legal: Rideout Plumbing LLC; former entity name per registry: Jeff Julian Plumbing, LLC; still branded "Julian's Plumbing" in parts of the site. Verified in batch 1 research (2026-10-12), delivered today. Route: DEMO PATH, Sam call-first (trades window 7:00-8:30am or 4:00-5:30pm ET); no email slot. Second decision-maker: Jeff Julian — co-built the business "for nearly three decades" and the LLC was formerly "Jeff Julian Plumbing, LLC"; his current involvement is not stated, do not assume he retired. "Ask for Chason" graphic on the home page — Chason's role is not stated; have Sam note who answers. The main line is advertised as textable ("Send me a text"), so treat it as a possible cell: manual human dial only, no automated SMS or AI-voice contact. Veteran-led per site/BBB but the veteran is not named — don't attribute it to Jason on the call. Compliance: none (plumbing). Brand split is a second wedge: logo alt text and the Reviews page still say "Julian's Plumbing" and link to yelp.com/biz/julians-plumbing-charlotte-6; no FAQPage/LocalBusiness schema — good AI-readable-site/GEO follow-up after the voice demo. A competing AI-receptionist vendor (ServiceAgent) already has a directory page on this business, so they may be getting pitched. Not done this run (blocked/quota): GHL 'E4L Services' dedupe (orchestrator must run ghl-contacts.js before load), Google review text and owner reply rate, Yelp owner section, LinkedIn X-ray, Indeed/job posts, Meta/Google ad checks, NC license portal (BuildZoom shows license #20687 Plumbing Contractor Class 1, active as of Jan 2026), the D4 AI spot-check. Watch-tab blocker = D4; one GEO money question re-scores this to QUALIFIED.</t>
        </is>
      </c>
      <c r="BR24" s="10" t="inlineStr"/>
      <c r="BS24" s="10" t="inlineStr"/>
      <c r="BT24" s="10" t="inlineStr"/>
    </row>
    <row r="25" ht="120" customHeight="1">
      <c r="A25" s="8" t="inlineStr">
        <is>
          <t>20261013-24</t>
        </is>
      </c>
      <c r="B25" s="8" t="inlineStr">
        <is>
          <t>2026-10-13</t>
        </is>
      </c>
      <c r="C25" s="8" t="n">
        <v>2</v>
      </c>
      <c r="D25" s="10" t="inlineStr"/>
      <c r="E25" s="10" t="inlineStr">
        <is>
          <t>New</t>
        </is>
      </c>
      <c r="F25" s="8" t="n">
        <v>52</v>
      </c>
      <c r="G25" s="8">
        <f>IF(F25="","",IF(F25&gt;=80,"A — send today",IF(F25&gt;=60,"B — worth a touch",IF(F25&gt;=40,"C — hold","D — reject"))))</f>
        <v/>
      </c>
      <c r="H25" s="8" t="inlineStr">
        <is>
          <t>Collins Roofing LLC</t>
        </is>
      </c>
      <c r="I25" s="8" t="inlineStr">
        <is>
          <t>Aaron</t>
        </is>
      </c>
      <c r="J25" s="8" t="inlineStr">
        <is>
          <t>Collins</t>
        </is>
      </c>
      <c r="K25" s="8" t="inlineStr">
        <is>
          <t>Owner</t>
        </is>
      </c>
      <c r="L25" s="8" t="inlineStr">
        <is>
          <t>Not found</t>
        </is>
      </c>
      <c r="M25" s="8" t="inlineStr">
        <is>
          <t>None found</t>
        </is>
      </c>
      <c r="N25" s="8" t="inlineStr">
        <is>
          <t>Not found</t>
        </is>
      </c>
      <c r="O25" s="8" t="inlineStr">
        <is>
          <t>Not found</t>
        </is>
      </c>
      <c r="P25" s="8" t="inlineStr">
        <is>
          <t>+1 816-252-3088</t>
        </is>
      </c>
      <c r="Q25" s="8" t="inlineStr">
        <is>
          <t>Roofing (residential + commercial; gutters, maintenance agreements, insurance claims)</t>
        </is>
      </c>
      <c r="R25" s="8" t="inlineStr">
        <is>
          <t>core</t>
        </is>
      </c>
      <c r="S25" s="8" t="inlineStr">
        <is>
          <t>Blue Springs</t>
        </is>
      </c>
      <c r="T25" s="8" t="inlineStr">
        <is>
          <t>MO</t>
        </is>
      </c>
      <c r="U25" s="8" t="inlineStr">
        <is>
          <t>KC fall storm/hail window is the roofing call spike (vertical calendar). The business is visibly investing in its presence right now: site rebuilt 2024 and refreshed April 2026, contact page changed July 2026 with an apparent new Blue Springs office, and an SMS appointment-reminder program added March 2025 - they already like text automation. Meanwhile the site states office hours only and no after-hours path, and the owner personally runs estimates and adjuster meetings, so daytime calls ring while he is on a roof or in a driveway.</t>
        </is>
      </c>
      <c r="V25" s="8" t="inlineStr">
        <is>
          <t>Family-Legacy Pride Brand (primary, medium confidence); secondary: Growth-Minded Operator (self-described modernization)</t>
        </is>
      </c>
      <c r="W25" s="8" t="inlineStr">
        <is>
          <t>Voice AI live demo line built from collinsroofingkc.com (DEMO PATH: named owner, phone-first, no published email) with missed-call text-back for after-hours and storm overflow; position as after-hours/overflow only, never as replacing the office. Second ask: free AI Search Visibility audit (run the D4 check first so the "Named in X of Y" line is real).</t>
        </is>
      </c>
      <c r="X25" s="8" t="inlineStr">
        <is>
          <t>Recover</t>
        </is>
      </c>
      <c r="Y25" s="8" t="inlineStr">
        <is>
          <t>Collins Roofing after 5:30 PM</t>
        </is>
      </c>
      <c r="Z25" s="8" t="inlineStr">
        <is>
          <t>Your site says Jack used to get up at night to patch a customer's roof. Who picks up Collins Roofing's line after 5:30 today?</t>
        </is>
      </c>
      <c r="AA25" s="8" t="inlineStr">
        <is>
          <t>Legacy protection plus the missed-call math. 47 years and a second generation at the helm; the office line runs Mon-Fri 8:30-5:30; roofing calls come after storms, evenings, and weekends, and the homeowner who hits voicemail dials the next roofer on Google. The AI answers only the calls that already ring out or come in after hours, trained on Collins Roofing's own site and story, qualifies the caller (name, address, leak or storm, insurance claim yes/no), books the free estimate, and texts back every missed call in under a minute. Nothing changes for Ashley or the office during the day. Proof lever: a demo number built from their site they can call before paying anything. Mirror their own phrase "old-school grit with modern tools"; never imply their way is outdated.</t>
        </is>
      </c>
      <c r="AB25" s="8" t="inlineStr">
        <is>
          <t>"We answer our phones - the office handles it" or "We're busy enough off referrals and insurance work" or "We get marketing calls every week." Answer: this only covers what already goes to voicemail after 5:30 and during storm surges; it books straight onto your calendar and texts the caller back so they don't call the next guy; hear it on the demo line first, nothing to buy to hear it, no long contract.</t>
        </is>
      </c>
      <c r="AC25" s="8" t="inlineStr">
        <is>
          <t>"Hi Aaron, it's Sam with Eat 4 Life Marketing - this is a cold call, so I'll be quick. I was on collinsroofingkc.com this morning; your About page says your dad Jack used to get up in the middle of the night to patch a customer's roof, and your office line runs 8:30 to 5:30. When a homeowner calls after a storm at 7 PM and it rings out, they dial the next roofer on Google. We built a demo line trained on Collins Roofing's own website that answers those calls and books the estimate - you can call it before anyone pays a dollar. Can I take 20 seconds to tell you how it works, or is there a better time to catch you?"</t>
        </is>
      </c>
      <c r="AD25" s="8" t="inlineStr">
        <is>
          <t>Tue-Thu 8:30-9:15 AM CT, right at office open, before estimates start (site testimonials show Aaron personally runs estimates and insurance-adjuster meetings, so he is likely out mid-day); fallback 4:30-5:25 PM CT before the 5:30 close. Avoid Mondays after a storm weekend.</t>
        </is>
      </c>
      <c r="AE25" s="8" t="inlineStr">
        <is>
          <t>Site contact page: "Office Hours Mon - Fri: 8:30AM - 5:30PM" (https://collinsroofingkc.com/contact/). GBP hours not retrievable this run.</t>
        </is>
      </c>
      <c r="AF25" s="8" t="inlineStr">
        <is>
          <t>America/Chicago (Central Time)</t>
        </is>
      </c>
      <c r="AG25" s="8" t="inlineStr">
        <is>
          <t>Single office line (816) 252-3088 on site, BBB, and privacy policy; no owner cell published; no answering service or IVR mentioned anywhere. Office hours Mon-Fri 8:30-5:30 CT. Staff named by customers on the home page: Ashley (answers customer questions, 2 mentions - most likely the office voice), Phillip (estimates), Will, foreman Gabriel, and founder Jack. If Ashley or Phillip answers: "Hi, is Aaron in this morning or already out on estimates? When does he usually swing back through the office?" Use the first name and the Blue Springs office move as a natural reason for the call if asked.</t>
        </is>
      </c>
      <c r="AH25" s="8" t="inlineStr">
        <is>
          <t>The About page founder story: Jack getting up in the middle of the night to patch a customer's roof, paired with the fact the office line today runs Mon-Fri 8:30-5:30 with no after-hours path stated. Source: https://collinsroofingkc.com/about/ and https://collinsroofingkc.com/contact/. Secondary: "47 years" (1979-2026) and the apparent new Blue Springs office (contact page updated 2026-07-10).</t>
        </is>
      </c>
      <c r="AI25" s="8" t="inlineStr">
        <is>
          <t>(1) Hours gap, quoted: "Office Hours Mon - Fri: 8:30AM - 5:30PM" (https://collinsroofingkc.com/contact/) with no stated after-hours or weekend path, in an inherently urgent niche (roofing; storm calls). (2) Booking/contact friction, verified in page source: no scheduler, no chat, no text; contact form gives no response-time promise or auto-confirmation; the only promise is the copy "our experts provide prompt communication" (contact page). (3) Owner is the estimator: testimonials say "Aaron did an excellent job explaining things and working with my insurance" and "Phillip, Ashley, and Aaron were prompt with getting back to me" (https://collinsroofingkc.com/) - the phone rings while he is at appointments. (4) Contrast line for the pitch: founder story "waking up in the middle of the night to patch a customer's roof" vs. no after-hours answering stated today. Counter-signal: site testimonials praise responsiveness ("Incredibly fast, affordable and responsive service"); no reachability complaints found (Google/Yelp reviews not retrievable this run). BBB: 0 complaints in 3 years.</t>
        </is>
      </c>
      <c r="AJ25" s="8" t="inlineStr">
        <is>
          <t>(1) Possible office relocation: contact page updated 2026-07-10 (sitemap lastmod) now shows 501 NW 5th St Suite #500, Blue Springs, while BBB and the MO SOS mailing address still show Independence - UNVERIFIED, ask on the call. (2) Site content refresh across all pages 2026-04-16; site built 2024-03-20 (JSON-LD dates). (3) SMS messaging program added to privacy policy, effective 2025-03-19 (appointment reminders, STOP opt-out). (4) MO SOS "Change of Registered Agent and/or Registered Office" filed 6 Feb 2025 (OpenCorporates). (5) Fall storm/hail season in the KC metro - vertical calendar only, no business-specific storm post found. No receptionist/CSR job post found (Indeed 403, no careers page on site).</t>
        </is>
      </c>
      <c r="AK25" s="8" t="inlineStr">
        <is>
          <t>Family-Legacy signals: (1) "A second-generation company with roots dating back to 1979" and "honoring the legacy we were built on" - https://collinsroofingkc.com/about/ (2026-10-12); (2) founder story "Founded in 1979 by Jack Collins ... waking up in the middle of the night to patch a customer's roof" - same URL; (3) surname in the business name, "Since 1979" in the home hero - https://collinsroofingkc.com/; (4) BBB Accredited since 1/16/2018, A+, 0 complaints - https://www.bbb.org/us/mo/independence/profile/roofing-contractors/collins-roofing-llc-0714-1000011593; (5) Expertise.com: "family-owned and family-operated", run by Jack's son Aaron - https://expertise.com/home-improvement/roofing/missouri/kansas-city. Growth-Minded cues: "guiding it into its next era of modern operations", "process-driven production systems", site rebuilt on WordPress/Elementor (published 2024-03-20, modified 2026-04-16 per JSON-LD), SMS appointment-reminder program documented in privacy policy (updated 2025-03-19) - https://collinsroofingkc.com/privacy-policy/. No negatives observed (no hostile replies seen; review replies not retrievable). Sources: website + BBB + third-party directory = 3 categories.</t>
        </is>
      </c>
      <c r="AL25" s="8" t="inlineStr">
        <is>
          <t>Second-generation owner. Site About: "Long before taking ownership, Aaron grew up in the trade" and "values instilled by his father, Jack Collins", who founded the company in 1979. Took ownership date not stated; LLC formed April 2012 with Aaron as registered agent per OpenCorporates (agent/office change filings 2018 and 6 Feb 2025). Customers still name Jack alongside Aaron and Will in a testimonial, so the founder may remain involved. No military, trade-school, or prior-career statements found.</t>
        </is>
      </c>
      <c r="AM25" s="8" t="inlineStr">
        <is>
          <t>Tone: legacy-proud, professional, systems-minded. Verbatim voice lines (https://collinsroofingkc.com/about/): "Jack believed in doing the right thing even when no one was watching - waking up in the middle of the night to patch a customer's roof if needed"; "pairs that same old-school work ethic with modern tools and structured production systems"; "A modern, process-driven approach with structured systems for predictable outcomes"; "Commitment to maintaining strong margins without compromising quality" (unusually candid business-owner line). Bragging points: since 1979, second generation, BBB A+, residential + commercial, insurance-claim guidance. Mirror the phrase "old-school grit with modern tools".</t>
        </is>
      </c>
      <c r="AN25" s="8" t="inlineStr">
        <is>
          <t>Owner-operator</t>
        </is>
      </c>
      <c r="AO25" s="8" t="inlineStr">
        <is>
          <t>Not found (LinkedIn X-ray not possible this run: web search budget exhausted)</t>
        </is>
      </c>
      <c r="AP25" s="8" t="inlineStr">
        <is>
          <t>Company accounts only (linked from site footer): https://www.facebook.com/CollinsRoofing/ and https://www.instagram.com/collinsroofingkc (both login-walled on fetch; follower counts and post dates not observed). No personal owner socials found.</t>
        </is>
      </c>
      <c r="AQ25" s="8" t="inlineStr">
        <is>
          <t>https://collinsroofingkc.com</t>
        </is>
      </c>
      <c r="AR25" s="8" t="inlineStr">
        <is>
          <t>Not found</t>
        </is>
      </c>
      <c r="AS25" s="8" t="inlineStr">
        <is>
          <t>501 NW 5th St, Suite #500, Blue Springs, MO 64014 (site contact page, updated 2026-07-10). CONFLICT: BBB lists 336 S Kentucky Ave, Independence, MO 64053-1040; OpenCorporates (MO SOS) mailing address 8900 US 24 Hwy, Independence, MO 64053. Likely a 2026 office move - verify on the call.</t>
        </is>
      </c>
      <c r="AT25" s="8" t="inlineStr">
        <is>
          <t>64014</t>
        </is>
      </c>
      <c r="AU25" s="8" t="inlineStr">
        <is>
          <t>Greater Kansas City both sides of the state line: Kansas City, Independence, Sugar Creek, Blue Springs, Raytown, Lee's Summit, Grain Valley, Pleasant Hill, Oak Grove, North Kansas City, Gladstone, Liberty, Overland Park, Lenexa, Mission Hills, Prairie Village, Topeka, Columbia, Jefferson City, Versailles "and more" (https://collinsroofingkc.com/about/). BBB: Missouri, Kansas.</t>
        </is>
      </c>
      <c r="AV25" s="8" t="inlineStr">
        <is>
          <t>Not found (GBP page could not be retrieved this run; no web search available)</t>
        </is>
      </c>
      <c r="AW25" s="8" t="inlineStr">
        <is>
          <t>5.0 (199 Google reviews) per Expertise.com Kansas City listing, checked 2026-10-12 - third-party relay, NOT confirmed on GBP; the scout saw a 4.8 snippet earlier, so treat the exact figure as unconfirmed</t>
        </is>
      </c>
      <c r="AX25" s="8" t="inlineStr">
        <is>
          <t>Google 199 (via Expertise.com KC page); Thumbtack 5.0 / 56 (Expertise KC page) but the Expertise Independence page shows Thumbtack 5.0 / 6 and Yelp 4.5 / 2 (conflict between the two Expertise pages); Facebook 5.0 / 34 (Expertise KC page); BBB: 0 customer reviews, 0 complaints in last 3 years</t>
        </is>
      </c>
      <c r="AY25" s="8" t="inlineStr">
        <is>
          <t>CONFLICT. Site: "Founded in 1979 by Jack Collins" / "Since 1979" / "over 40 years in business" (https://collinsroofingkc.com/about/). Government/BBB: Collins Roofing LLC Articles of Organization filed 7 Apr 2012 (OpenCorporates LC1218793); BBB "Business Started" 2012-04-18, accredited since 1/16/2018. Hypothesis: prior sole prop or entity under Jack -&gt; new LLC in 2012 (second-generation takeover). Use "since 1979 / 47 years" in outreach because the business itself claims it.</t>
        </is>
      </c>
      <c r="AZ25" s="8" t="inlineStr">
        <is>
          <t>Not found as a number (no BBB/LinkedIn headcount retrievable). At least 6 people named by customers in site testimonials: Jack, Aaron, Will, Ashley, Phillip, and foreman Gabriel (https://collinsroofingkc.com/).</t>
        </is>
      </c>
      <c r="BA25" s="8" t="inlineStr">
        <is>
          <t>1 office (single address on site; BBB and SOS show a different Independence address - see street_address)</t>
        </is>
      </c>
      <c r="BB25" s="8" t="inlineStr">
        <is>
          <t>Residential roofing (full replacements, repairs, storm restoration; Malarkey Highlander/Vista/Legacy and GAF Timberline shingles), commercial roofing (TPO, metal, coatings), commercial maintenance plans, gutters and gutter guards, maintenance agreements, insurance-claim support (meets adjusters). Expertise.com adds siding, windows, exterior trim, DECRA stone-coated metal, Tamko, and "flexible financing" (not stated on the site itself).</t>
        </is>
      </c>
      <c r="BC25" s="8" t="inlineStr">
        <is>
          <t>basic (leaning modern): SSL, WordPress + Elementor 4.3.4 site built 2024, Google Tag Manager, reCAPTCHA contact form, FAQPage JSON-LD on 3 pages, documented SMS appointment-reminder/opt-out program; but no online booking, no chat, no text-us button, no call tracking, no Meta pixel</t>
        </is>
      </c>
      <c r="BD25" s="8" t="inlineStr">
        <is>
          <t>diy: no agency footer credit, Site Kit by Google + Yoast + GTM (self-managed WordPress); no paid-ad evidence found on-site; ad-library checks blocked (see ads_running)</t>
        </is>
      </c>
      <c r="BE25" s="8" t="inlineStr">
        <is>
          <t>established: operating since 1979 (LLC 2012), ~199 Google reviews, 6+ named staff, 20-city service area, site refreshed 2026, apparent office relocation 2026</t>
        </is>
      </c>
      <c r="BF25" s="8" t="inlineStr">
        <is>
          <t>unknown (Google/Facebook/Yelp review pages not retrievable this run; BBB shows 0 reviews and 0 complaints)</t>
        </is>
      </c>
      <c r="BG25" s="8" t="inlineStr">
        <is>
          <t>Not stated anywhere. Grep of all 13 site pages found no "24/7", "after hours", "emergency service", answering service, or AI-receptionist mention; the only "emergency" hit is generic copy about avoiding "emergency roof repair" on the maintenance page. Office hours Mon-Fri 8:30-5:30 (contact page). What happens to a 7 PM or Saturday storm call is unknown - the gap to ask about.</t>
        </is>
      </c>
      <c r="BH25" s="8" t="inlineStr">
        <is>
          <t>None. Every "Get an Estimate" / "Request a FREE Estimate" CTA links to /contact/, which is an Elementor contact form (Name, Phone, Email, City, message) with reCAPTCHA; no scheduler scripts (no Calendly, Acuity, Housecall Pro, ServiceTitan, Jobber, AccuLynx, JobNimbus) in page source.</t>
        </is>
      </c>
      <c r="BI25" s="8" t="inlineStr">
        <is>
          <t>None. No chat widget, no text-us button, no click-to-text; page source has no Podium, Birdeye, Tidio, Intercom, Drift, tawk, LiveChat, Textline, or Weave scripts.</t>
        </is>
      </c>
      <c r="BJ25" s="8" t="inlineStr">
        <is>
          <t>WordPress; Elementor 4.3.4 (meta generator); Site Kit by Google 1.189.0; Google Tag Manager GTM-5M6NRPLZ; Yoast SEO; WP-Optimize; Elementor Forms + Google reCAPTCHA. Manufacturer partners: Malarkey, GAF Timberline (site); GAF, Tamko, DECRA (Expertise.com). Not present: CallRail/CTM, Meta pixel (fbq), chat, booking, review-request widgets, agency credit.</t>
        </is>
      </c>
      <c r="BK25" s="8" t="inlineStr">
        <is>
          <t>Not confirmed. Google Ads Transparency Center page for collinsroofingkc.com loaded with no ads shown (JS-rendered, inconclusive); Meta Ad Library returned HTTP 403; Google Sponsored/LSA "Google Guaranteed" checks not possible (no web search this run); no call-tracking number swap or Meta pixel on the site, which argues against active paid lead-gen. Re-check LSA and Meta Ad Library before the call.</t>
        </is>
      </c>
      <c r="BL25" s="8" t="inlineStr">
        <is>
          <t>not checked - web search budget was exhausted this run, so no ChatGPT/Perplexity/Gemini money-question check was performed. Site-side: FAQPage JSON-LD is present on /faqs/, /services/residential-roofing/, and /services/commercial-roofing/ (16 Q&amp;As), plus Organization/WebSite schema; no LocalBusiness schema. D4 scored 0 / NO EVIDENCE per rubric.</t>
        </is>
      </c>
      <c r="BM25" s="8" t="inlineStr">
        <is>
          <t>PASS. Chain/franchise: none - single-location, family-owned LLC, no parent, no franchise language, no "find a location" page. Website: live own-domain WordPress site (HTTP 200, www redirects to collinsroofingkc.com). Live US business: Collins Roofing LLC, MO entity LC1218793, status Active (OpenCorporates), BBB A+ accredited, 0 complaints; 199 Google reviews listed Oct 2026. Inbound channel: phone in header + contact form. Not a competitor. No competing AI receptionist or answering service in page source or copy. Suppression: no match in suppression.csv or seen.csv by name, domain, or phone (only "Collinsville, IL" false positives). NOT run: GHL ghl-contacts.js dedupe and GBP operational status (could not open GBP this run).</t>
        </is>
      </c>
      <c r="BN25" s="8" t="inlineStr">
        <is>
          <t>D1 Decision-maker: 8/20 - Aaron Collins, Owner, cited from 3 sources (site home/about, BBB principal, MO SOS registered agent via OpenCorporates) but no email anywhere (site, BBB, OpenCorporates), no direct line, no LinkedIn found; form-only contact = DEMO PATH / call-first. | D2 Phone gap: 15/15 - phone in header on every page (tel:+18162523088), roofing is on the inherently-urgent list, office hours string "Mon - Fri: 8:30AM - 5:30PM" on /contact/, and zero mention of 24/7 answering, answering service, or AI receptionist across 13 pages. | D3 Leak evidence: 5/15 - exactly one signal type: booking/contact friction verified in page source (no scheduler, no chat/text, form with no response-time promise); review reachability complaints, job posts, reply rate, Yelp badges not retrievable (Google/Yelp/Indeed/Facebook blocked); BBB 0 complaints; site testimonials praise responsiveness. | D4 AI visibility: 0/10 NO EVIDENCE - no AI platform could be checked (search budget exhausted); site already has FAQPage schema on 3 pages, so max would be 6 once checked. | D5 ICP fit: 15/15 - (a) family-owned single-location LLC with named owner, (b) roofing = core niche, (c) proxies: since 1979 / LLC 2012, 199 Google reviews (via Expertise), 6+ named staff in testimonials, roofing ticket $8-15k, 20-city service area. | D6 Timing/spend: 3/15 - soft activity only (site refresh Apr 2026, contact page change Jul 2026, SMS policy Mar 2025); no dated announced trigger; spend checklist: footer no agency, view-source no CallRail/fbq, Google Ads Transparency showed nothing (inconclusive), Meta Ad Library 403, LSA/Sponsored not checked, Indeed 403. | D7 Attitude: 6/10 - positives: modern site (2024 build, © 2026, modified Apr 2026), documented SMS/text program + FAQ schema, self-described growth posture ("next era of modern operations"); review-reply behavior and social recency unobserved; no negatives; no incumbent agency (DIY WordPress). | TOTAL 52 = WATCH band by rubric arithmetic, status TRUSTED (6 of 7 dimensions with evidence, D1 positive, D2 direct hours string, D5 cited). Blocker: D4 not run. One GEO spot-check landing at 6 pts lifts it to 58 = QUALIFIED.</t>
        </is>
      </c>
      <c r="BO25" s="8" t="inlineStr">
        <is>
          <t>https://collinsroofingkc.com/about/, https://collinsroofingkc.com/contact/, https://collinsroofingkc.com/, https://www.bbb.org/us/mo/independence/profile/roofing-contractors/collins-roofing-llc-0714-1000011593, https://opencorporates.com/companies/us_mo/LC1218793, https://expertise.com/home-improvement/roofing/missouri/kansas-city, https://www.expertise.com/mo/independence/roofing, https://collinsroofingkc.com/faqs/, https://collinsroofingkc.com/privacy-policy/, https://collinsroofingkc.com/services/, https://collinsroofingkc.com/services/maintenance-agreements/, https://collinsroofingkc.com/page-sitemap.xml, https://collinsroofingkc.com/robots.txt, https://www.bbb.org/search?find_country=USA&amp;find_text=Collins+Roofing&amp;find_loc=Independence%2C+MO, https://www.facebook.com/CollinsRoofing/, https://www.instagram.com/collinsroofingkc, https://adstransparency.google.com/?region=US&amp;domain=collinsroofingkc.com</t>
        </is>
      </c>
      <c r="BP25" s="8" t="inlineStr">
        <is>
          <t>Medium</t>
        </is>
      </c>
      <c r="BQ25" s="8" t="inlineStr">
        <is>
          <t>Title detail: Owner (site home page: "Aaron Collins - Owner"; BBB Business Management: "Aaron Collins, Owner"; OpenCorporates/MO SOS registered agent: "Collins, Aaron"). Verified in batch 1 research (2026-10-12), delivered today. Band: 52 TRUSTED = WATCH by rubric arithmetic, but the only blocker is D4 (AI spot-check not run because the search budget was exhausted) - run one money question ("best roofer in Independence, MO" / "emergency roof repair Blue Springs, MO") on ChatGPT + Perplexity; a 6 there makes it 58 QUALIFIED. Route is DEMO PATH / call-first for Sam (no email found, no email slot spent). Pre-build the demo from collinsroofingkc.com only after the D4 check or a reply. Three conflicts to resolve before anything is quoted: rating 5.0 vs 4.8 (confirm on GBP), founding 1979 (site) vs 2012 (LLC/BBB), address Blue Springs (site) vs Independence (BBB/SOS). Not retrievable this run: Google review text and reply rate, Facebook/Instagram activity, LinkedIn, Indeed, Meta Ad Library, LSA badge - refresh D3/D6 before promoting. Never quote testimonials or reviews back; no reachability complaints were found anyway, so lead with the hours gap and the founder story, not with complaints. Ashley appears in two testimonials as the person answering customer questions (role unstated) - probably who picks up. Jack Collins may still be involved. Tagline only "AI Marketing Made Easy"; no prices; no promised results.</t>
        </is>
      </c>
      <c r="BR25" s="10" t="inlineStr"/>
      <c r="BS25" s="10" t="inlineStr"/>
      <c r="BT25" s="10" t="inlineStr"/>
    </row>
    <row r="26" ht="120" customHeight="1">
      <c r="A26" s="8" t="inlineStr">
        <is>
          <t>20261013-25</t>
        </is>
      </c>
      <c r="B26" s="8" t="inlineStr">
        <is>
          <t>2026-10-13</t>
        </is>
      </c>
      <c r="C26" s="8" t="n">
        <v>2</v>
      </c>
      <c r="D26" s="10" t="inlineStr"/>
      <c r="E26" s="10" t="inlineStr">
        <is>
          <t>New</t>
        </is>
      </c>
      <c r="F26" s="8" t="n">
        <v>52</v>
      </c>
      <c r="G26" s="8">
        <f>IF(F26="","",IF(F26&gt;=80,"A — send today",IF(F26&gt;=60,"B — worth a touch",IF(F26&gt;=40,"C — hold","D — reject"))))</f>
        <v/>
      </c>
      <c r="H26" s="8" t="inlineStr">
        <is>
          <t>Evans Roofing, LLC</t>
        </is>
      </c>
      <c r="I26" s="8" t="inlineStr">
        <is>
          <t>Marcus</t>
        </is>
      </c>
      <c r="J26" s="8" t="inlineStr">
        <is>
          <t>Evans</t>
        </is>
      </c>
      <c r="K26" s="8" t="inlineStr">
        <is>
          <t>Owner / founder</t>
        </is>
      </c>
      <c r="L26" s="8" t="inlineStr">
        <is>
          <t>marcus@evansroofingokc.com</t>
        </is>
      </c>
      <c r="M26" s="8" t="inlineStr">
        <is>
          <t>Personal (named)</t>
        </is>
      </c>
      <c r="N26" s="8" t="inlineStr">
        <is>
          <t>Confirmed</t>
        </is>
      </c>
      <c r="O26" s="8" t="inlineStr">
        <is>
          <t>Not found (only the main line 405-740-0697 is published anywhere)</t>
        </is>
      </c>
      <c r="P26" s="8" t="inlineStr">
        <is>
          <t>+1 405-740-0697</t>
        </is>
      </c>
      <c r="Q26" s="8" t="inlineStr">
        <is>
          <t>Roofing (residential + commercial; flat/TPO specialty)</t>
        </is>
      </c>
      <c r="R26" s="8" t="inlineStr">
        <is>
          <t>core</t>
        </is>
      </c>
      <c r="S26" s="8" t="inlineStr">
        <is>
          <t>Oklahoma City</t>
        </is>
      </c>
      <c r="T26" s="8" t="inlineStr">
        <is>
          <t>OK</t>
        </is>
      </c>
      <c r="U26" s="8" t="inlineStr">
        <is>
          <t>28th year in business (founded 1998) with the owner still signing every contract and working onsite - and nothing on the inbound side has changed since the 2020 site build: no booking, chat, text-back, or call tracking, blog dormant since June 2021, YouTube since April 2023, web vendor's domain now dead. Marketing is nobody's job here (first-agency opportunity), the email is confirmed personal, and the entity is active (annual certificate filed May 2026). Setting up call coverage in the fall puts it in place before Oklahoma's spring hail surge (vertical calendar inference - no storm event verified this run).</t>
        </is>
      </c>
      <c r="V26" s="8" t="inlineStr">
        <is>
          <t>Skeptical Old-School Traditionalist (primary, medium confidence); secondary: Overwhelmed Owner-Operator / Family-Legacy Pride. Not anti-tech or hostile - a thoughtful, proof-driven owner; treat as call-first, no "AI" in the subject line.</t>
        </is>
      </c>
      <c r="W26" s="8" t="inlineStr">
        <is>
          <t>Voice AI live demo line built from evansroofingokc.com (demo_build = yes: D2 = 15, phone-first, scrapable WordPress site with About/FAQ/services copy) + missed-call text-back. Frame as overflow/relief, not lead-gen or replacement ("you still pick up every call you can; this catches the ones that already go to voicemail while you're on a roof"). GEO audit as a second touch only after D4 is actually run (site already has FAQ schema, so lead with the phone, not the audit).</t>
        </is>
      </c>
      <c r="X26" s="8" t="inlineStr">
        <is>
          <t>Recover</t>
        </is>
      </c>
      <c r="Y26" s="8" t="inlineStr">
        <is>
          <t>Marcus - who picks up while you're on the roof?</t>
        </is>
      </c>
      <c r="Z26" s="8" t="inlineStr">
        <is>
          <t>Your Why Us page says you sign every contract and work onsite with your crews - which means the office line is ringing while you're on a roof.</t>
        </is>
      </c>
      <c r="AA26" s="8" t="inlineStr">
        <is>
          <t>Missed-call relief, in his words, with the demo as proof. He has "never employed salespeople" and relies on word-of-mouth, so position this as the opposite of a salesperson: a receptionist that only catches the referral calls that already go to voicemail while he and the crew are on a job, gets the address and what's leaking, books the estimate, and texts back every missed call in under a minute. Do not lead with "AI"; let him call the demo line and hear his own business answered. Secondary hook for the call only: his own blog line that the phone floods with leak calls after every heavy rain.</t>
        </is>
      </c>
      <c r="AB26" s="8" t="inlineStr">
        <is>
          <t>"We've never advertised - word of mouth keeps us busy, and we only take one job at a time." Answer: this isn't advertising or more leads; it's catching the word-of-mouth callers who already dial you and hit voicemail while you're on a roof - one-job-at-a-time makes each missed estimate call cost more, not less. Second objection: "I don't want a robot talking to my customers" - you still answer every call you can; this only covers the ones that already go to voicemail, and you can hear it first on the demo line before anything is set up (go-live is one call-forwarding rule, rollback is one dial code).</t>
        </is>
      </c>
      <c r="AC26" s="8" t="inlineStr">
        <is>
          <t>"Marcus? Sam with Eat 4 Life Marketing - this is a cold call, so feel free to hang up on me. I was on your site: it says you sign every contract and work onsite with your crews, so I'll ask the obvious - who picks up the office line while you're on a roof? We built a demo receptionist from evansroofingokc.com that answers those calls, gets the address and what's leaking, books the estimate, and texts back anything it misses in under a minute. Can I take 20 seconds to tell you how to call it and hear it yourself?"</t>
        </is>
      </c>
      <c r="AD26" s="8" t="inlineStr">
        <is>
          <t>Tue-Thu 7:00-8:15 AM CT, before the crew rolls - his site says he "signs every contract and works with his crews onsite" and runs "one job at a time", so mid-day he is on a roof; backup window 4:30-5:30 PM CT when the crew wraps. Skip the day after heavy rain in OKC (his own blog says leak calls flood in after every heavy rainfall). Hours not published anywhere, so Sam logs the hours and who answered on dial one.</t>
        </is>
      </c>
      <c r="AE26" s="8" t="inlineStr">
        <is>
          <t>Not found - no hours on the website, BBB, or Yellow Pages ("Do you know the hours for this business?"); Google Business Profile not fetchable this run. Sam: capture hours and who answers on the first dial.</t>
        </is>
      </c>
      <c r="AF26" s="8" t="inlineStr">
        <is>
          <t>America/Chicago (Central Time)</t>
        </is>
      </c>
      <c r="AG26" s="8" t="inlineStr">
        <is>
          <t>No office staff, dispatcher, or office manager named anywhere: no team page, no careers page, BBB lists only "Marcus Evans, Owner" and no customer contacts, no job posts found. The only published number is the main line 405-740-0697, so expect Marcus himself, a crew member, or voicemail. If someone else answers: "Is Marcus around this afternoon? It's about the office line." If voicemail: leave a 10-second message with the demo-line offer and follow with the email to marcus@evansroofingokc.com (confirmed). No answering service or IVR detected on the site; Sam records human/voicemail/IVR/AI on the first call to update D2. Central Time; stay inside 8am-9pm local and check Oklahoma telemarketing rules before the first OK dial.</t>
        </is>
      </c>
      <c r="AH26" s="8" t="inlineStr">
        <is>
          <t>No dated win in the last 90 days found. Best safe opener = years-in-business + his own words: 28 years (1998) and "Marcus Evans signs every contract and works with his crews onsite" (https://evansroofingokc.com/about-us/why-us/) - i.e. the owner is on the roof when the office line rings. Secondary: his own blog line "After every heavy rainfall, flat roofers are sure to get many phone calls from building owners reporting 'roof leaks'" (Nov 2020, https://evansroofingokc.com/2020/11/how-common-are-building-leaks-mistaken-for-roof-leaks/ - older than 12 months, use only on the call, not as the email opener).</t>
        </is>
      </c>
      <c r="AI26" s="8" t="inlineStr">
        <is>
          <t>(1) Owner on the roof: "Our owner is involved in every project. Marcus Evans signs every contract and works with his crews onsite." and "We only work one job at a time." (https://evansroofingokc.com/about-us/why-us/). (2) Reachability is the brand promise with no mechanism: "When you're worried about your roof, the last thing you need is a roofer that's hard to get in touch with or disappears once the initial job is done." (https://evansroofingokc.com/). (3) Call surges in his own words: "After every heavy rainfall, flat roofers are sure to get many phone calls from building owners reporting 'roof leaks.'" (https://evansroofingokc.com/2020/11/how-common-are-building-leaks-mistaken-for-roof-leaks/). (4) Booking/contact friction verified in source: no booking, chat, or text; Gravity Forms with no response-time promise (https://evansroofingokc.com/contact-us/). (5) No one else to answer: no office staff named anywhere, no careers page. NULLS: review reachability complaints not checkable (GBP not fetchable, Yelp 403, BBB/YP 0 reviews); no job posts found (no careers page in sitemap; Indeed 403).</t>
        </is>
      </c>
      <c r="AJ26" s="8" t="inlineStr">
        <is>
          <t>None dated within 180 days found. Logged sweep: no careers page (sitemap), Indeed 403, no search for job boards; no site change since 2021-10 (sitemap lastmod); SOS filings - trading names registered + reinstatement Dec 2022 (stale), annual certificate 2026-05-18 (routine); YouTube last upload 2023-04-18; blog last 2021-06-01; Meta Ad Library 403; OKC storm/hail last 60 days NOT checked (NWS page 503, no search); press/awards NOT checked. Soft angle only: 28th year in business (1998-&gt;2026). Spring hail season is months out (vertical calendar inference, no business-specific evidence).</t>
        </is>
      </c>
      <c r="AK26" s="8" t="inlineStr">
        <is>
          <t>Old-school signals (3+ across website + social): (1) About page, undated/current: "We've never employed salespeople or advertised with expensive billboards... relied on word-of-mouth" (https://evansroofingokc.com/about-us/); (2) site stale: footer "Copyright 2020", homepage lastmod 2021-10-04, About lastmod 2021-10-11, last blog post 2021-06-01 (https://evansroofingokc.com/wp-sitemap-posts-page-1.xml); (3) social dormant: YouTube last upload 2023-04-18 (youtube.com/feeds/videos.xml?channel_id=UCPwP0YTuQoLlB3j4sonyKmg); (4) web vendor credit "Website by T&amp;S Online Marketing" whose domain no longer resolves (one-time build, nobody owns marketing). Overwhelmed owner-operator signals (website only, so secondary): "Marcus Evans signs every contract and works with his crews onsite", "We only work one job at a time" (why-us page); single phone number, Gravity Forms contact form with no response-time promise, no booking/chat/text in page source. Family-legacy signals: "Family Owned" header, surname in name, since 1998, original crew still with company (About). No contradicting hostile or anti-AI statements found; review-reply behavior unknown (GBP not fetchable). Checked 2026-10-12.</t>
        </is>
      </c>
      <c r="AL26" s="8" t="inlineStr">
        <is>
          <t>Self-stated on site: founded Arrowhead Roofing in 1998 with a partner, bought the partner out in 2004 and renamed it Evans Roofing (https://evansroofingokc.com/about-us/). Hands-on: "Our owner is involved in every project. Marcus Evans signs every contract and works with his crews onsite." (https://evansroofingokc.com/about-us/why-us/). Writes the company blog himself - 6 technical posts Sept 2020-June 2021 (flat roofs, condensation on metal roofs, attic ventilation, insurance claims, and "The need for increased roofing regulation in Oklahoma") at https://evansroofingokc.com/author/marcus/. Credentials shown on site: ORCA, NRCA member, CIB, Shingle Master / Master Shingle Applicator, Fortified, Malarkey, Versico authorized, Johns Manville approved TPO, Polyglass, Karnak qualified applicator; OK roofing registration #80002005 with Commercial Endorsement (CIB lookup at verify.cib.hbesystems.com is JS-only, record not retrievable). Legal name per OK entity record: Marcus Lynn Evans (registered agent).</t>
        </is>
      </c>
      <c r="AM26" s="8" t="inlineStr">
        <is>
          <t>Tone: plain-spoken, dry humor, principled, anti-hype, technical. Verbatim: "We've never employed salespeople or advertised with expensive billboards. Since we started, we've relied on word-of-mouth from happy customers to grow our business." (About). "Evans Roofing isn't successful because we're the 'best' roofing company or the cheapest. We've been successful because our great employees and customers have helped us get there." (About). "We're not the right roofer for everyone, but if any of these reasons appeal to you, it may be worth your time to give us a call" (Why Us). "When a roofer says 'We work with insurance companies' it's a bit like saying 'Our crew has hammers.'" (FAQ). Blog: calls 'free roof' pitches "a scam" and argues for more roofing regulation. Bragging points: local-only crews ("look their neighbors in the eye"), one job at a time, historic/hard roofs, 1998 crew still with him. YouTube titles are self-deprecating ("I'm not a math guy"). Community: references include churches, City of Sayre, Salvation Army projects.</t>
        </is>
      </c>
      <c r="AN26" s="8" t="inlineStr">
        <is>
          <t>Owner-operator</t>
        </is>
      </c>
      <c r="AO26" s="8" t="inlineStr">
        <is>
          <t>Not found (LinkedIn X-ray not possible this run - search budget exhausted; linkedin.com/company/evans-roofing-llc returns 404)</t>
        </is>
      </c>
      <c r="AP26" s="8" t="inlineStr">
        <is>
          <t>Company handles from the site footer: Facebook facebook.com/evansroofingok (login-walled), X/Twitter x.com/evansroofingokc (not fetchable, HTTP 402), Instagram instagram.com/evansroofingokc (HTTP 429), YouTube "Evans Roofing Oklahoma City" youtube.com/channel/UCPwP0YTuQoLlB3j4sonyKmg - channel created 2021-05-09, burst of 9 uploads Feb 2023 (e.g. "Commercial Flat Roof Tear-Off", "Fully adhered TPO roof"), last upload 2023-04-18 "2023 Roof Odyssey"; dormant since. No owner-personal profiles found.</t>
        </is>
      </c>
      <c r="AQ26" s="8" t="inlineStr">
        <is>
          <t>https://evansroofingokc.com</t>
        </is>
      </c>
      <c r="AR26" s="8" t="inlineStr">
        <is>
          <t>Not found (footer "Email Us" links to the contact page; the only published mailbox is marcus@evansroofingokc.com)</t>
        </is>
      </c>
      <c r="AS26" s="8" t="inlineStr">
        <is>
          <t>1530 NW 3rd St, Oklahoma City, OK 73106 (site footer; OpenCorporates/OK SOS registered address "1530 NW 3"; Yellow Pages. BBB shows the same street with zip 73102 on one listing and no street/73154 on the other - minor BBB inconsistency.)</t>
        </is>
      </c>
      <c r="AT26" s="8" t="inlineStr">
        <is>
          <t>73106</t>
        </is>
      </c>
      <c r="AU26" s="8" t="inlineStr">
        <is>
          <t>"Oklahoma City metro area" (home page); "customers throughout Oklahoma" (residential/commercial pages); project pages show Sayre, Guthrie, Coyle, Ardmore, Piedmont (https://evansroofingokc.com/our-work/, /about-us/references/)</t>
        </is>
      </c>
      <c r="AV26" s="8" t="inlineStr">
        <is>
          <t>Not found (Google Maps not fetchable this run; no Maps link on site; BBB JSON-LD gives coordinates 35.524086,-97.525742 only)</t>
        </is>
      </c>
      <c r="AW26" s="8" t="inlineStr">
        <is>
          <t>4.8 per the scout's Lantern listing (lantern.llc/b/evans-roofing-oklahoma-city now returns 404) - NOT verified on GBP this run. BBB: 0 customer reviews. Yellow Pages: 0 reviews.</t>
        </is>
      </c>
      <c r="AX26" s="8" t="inlineStr">
        <is>
          <t>61 per the scout's Lantern listing (unverified; page now 404). GBP not captured.</t>
        </is>
      </c>
      <c r="AY26" s="8" t="inlineStr">
        <is>
          <t>1998 (28 years). About page: "Marcus Evans started our company in 1998 under the name Arrowhead Roofing. In 2004, Marcus purchased his business partner's share of the company and renamed the business Evans Roofing." BBB structured data foundingDate 1998-01-01. Entity: MARCUS EVANS ROOFING LLC, OK #3512044851, status "In Existence"; trading name "EVANS ROOFING LLC" registered 2022-10-06; filings show Terminated 2022-10-06 -&gt; Reinstatement 2022-12-20, then Annual Certificates May 2023/2024/2025/2026 (https://opencorporates.com/companies/us_ok/3512044851).</t>
        </is>
      </c>
      <c r="AZ26" s="8" t="inlineStr">
        <is>
          <t>Not found - no headcount published (BBB/LinkedIn/Indeed not available). Site: "Many of the original crew who began working with us in 1998 are still with the company" and "We only work one job at a time" (implies one crew).</t>
        </is>
      </c>
      <c r="BA26" s="8" t="inlineStr">
        <is>
          <t>1 (single address on site, BBB, YP, SOS)</t>
        </is>
      </c>
      <c r="BB26" s="8" t="inlineStr">
        <is>
          <t>Residential + commercial: new roofs, re-roofs, re-decks, flat roofs (TPO, PVC, EPDM, modified bitumen, roof coatings), custom metals, annual maintenance, inspections, leak detection, shingle/skylight/chimney repair, attic ventilation, flashing, RV roofs, insurance-claim assistance, historic homes ("roofs other companies won't touch"); financing offered ("several low monthly payment options", FAQ). Johns Manville approved TPO contractor, Versico authorized; NRCA member; license "OK# 80002005 Commercial Endorsement" (footer).</t>
        </is>
      </c>
      <c r="BC26" s="8" t="inlineStr">
        <is>
          <t>basic - SSL, WordPress 7.1.3 (core kept updated) on Beaver Builder theme, Gravity Forms contact form, GTM + gtag, FAQPage JSON-LD on /faq/ (generated by Beaver Builder PowerPack), financing mentioned in FAQ text; no online booking, chat, text-us, call tracking, review tooling, or CRM scripts; GBP messaging/booking status unknown</t>
        </is>
      </c>
      <c r="BD26" s="8" t="inlineStr">
        <is>
          <t>none - self-states "never employed salespeople or advertised"; one-time local web build (T&amp;S Online Marketing, domain now dead); blog stopped June 2021; YouTube stopped April 2023; Yellow Pages listing unclaimed ("Claim This Business"); BBB not accredited; no agency platform, pixel, or call tracking in source. Ads/LSA not checked this run.</t>
        </is>
      </c>
      <c r="BE26" s="8" t="inlineStr">
        <is>
          <t>plateau - established 1998 (28 yrs), entity active with 2026 annual certificate, but site/blog/social unchanged since 2021-2023, no hiring found, single location, "one job at a time"</t>
        </is>
      </c>
      <c r="BF26" s="8" t="inlineStr">
        <is>
          <t>unknown - Google reviews not fetchable this run; BBB 0 reviews / 0 complaints in 3 years; Yellow Pages 0 reviews; Yelp 403; Nextdoor login-walled</t>
        </is>
      </c>
      <c r="BG26" s="8" t="inlineStr">
        <is>
          <t>Unknown/none stated - no 24/7, emergency, after-hours, or answering-service language on any of 11 fetched pages or in page source (no answering-service or AI-voice vendor scripts); hours not published on site/BBB/YP; GBP not captured. Home page makes a reachability promise with no mechanism: "the last thing you need is a roofer that's hard to get in touch with... Our team is here when you need us." Sam should log human/voicemail/IVR on first dial.</t>
        </is>
      </c>
      <c r="BH26" s="8" t="inlineStr">
        <is>
          <t>None - page source has no calendly/acuity/housecallpro/jobber/servicetitan/square scripts; only a Gravity Forms contact form ("Get a Quote!" -&gt; /contact-us/) with no response-time promise or auto-confirmation text</t>
        </is>
      </c>
      <c r="BI26" s="8" t="inlineStr">
        <is>
          <t>None - no podium/birdeye/tidio/intercom/drift/tawk/livechat/textline/weave scripts; only a tel: link to 405-740-0697</t>
        </is>
      </c>
      <c r="BJ26" s="8" t="inlineStr">
        <is>
          <t>WordPress 7.1.3 (meta generator) + Beaver Builder theme (bb-theme/bb-theme-child), bb-plugin, PowerPack (bbpowerpack - produces the FAQPage schema); Gravity Forms; Google Tag Manager + gtag; YouTube iframe API; email hosted on Rackspace (MX mx1/mx2.emailsrvr.com); footer credit "Website by T&amp;S Online Marketing" (tsonlinemarketing.com does not resolve as of 2026-10-12). Not present: call tracking (CallRail/CTM), Meta pixel, Hotjar, booking, chat, review tools, CRM/GHL/HubSpot, answering-service or AI-receptionist scripts. Incumbent agency: none (greenfield).</t>
        </is>
      </c>
      <c r="BK26" s="8" t="inlineStr">
        <is>
          <t>Not checked - Google Ads SERP and LSA checks not possible this run (search budget exhausted); Google Ads Transparency Center is JS-only; Meta Ad Library returned HTTP 403. Site self-states "never... advertised with expensive billboards"; no gclid/UTM/call-tracking on the site. Treat as 'no spend found, sweep incomplete'.</t>
        </is>
      </c>
      <c r="BL26" s="8" t="inlineStr">
        <is>
          <t>Not checked - no AI platform could be queried this run (search budget exhausted; ChatGPT/Perplexity/Gemini not fetchable). Schema facts: FAQPage JSON-LD present on https://evansroofingokc.com/faq/ (6 Q&amp;As); no LocalBusiness/Service schema on any page; robots.txt blocks nothing but /wp-admin/. GEO audit line cannot be written yet; D4 max on re-run is 6 (schema exists).</t>
        </is>
      </c>
      <c r="BM26" s="8" t="inlineStr">
        <is>
          <t>PASS (2026-10-12). Chain/franchise: no - single location, independent LLC, no franchise language, not on CHAIN_HINTS list. Website: own domain, HTTP 200, WordPress, SSL. Live US business: OKC address on site/SOS/BBB/YP; OK entity "In Existence" with annual certificate filed 2026-05-18 (note: terminated 2022-10-06 and reinstated 2022-12-20 - resolved); BBB A+, 0 complaints in 3 years. Inbound channel: phone in header on every page + contact form. Not a competitor/non-buyer category. No AI receptionist or answering service detected on site/source (GBP/Yelp/Facebook not checkable). Not commercial-only (residential page + residential testimonials). Suppression/seen: evansroofingokc.com and "Evans Roofing, LLC" not in suppression.csv or seen.csv; NEAR-MATCH flagged for Rozel: suppression.csv contains "Evans Roofing Company, Inc." (evansroofingcompany.com, Elmira NY) and "Arrowhead Roofing &amp; Exteriors" (Wentzville MO) - different domains, states, and businesses. GHL 'E4L Services' dedupe via ghl-contacts.js NOT run by this agent.</t>
        </is>
      </c>
      <c r="BN26" s="8" t="inlineStr">
        <is>
          <t>D1 Decision-maker reach: 14/20 - full name + role CONFIRMED from three sources (BBB "Marcus Evans, Owner"; OK entity registered agent Marcus Lynn Evans at site address via OpenCorporates; About/Why Us/author pages) AND personal email marcus@evansroofingokc.com published as a mailto on the own-domain contact page with MX present; no owner-personal secondary channel (no LinkedIn/cell found; socials are company handles), so 14 not 20. | D2 Phone-coverage gap: 15/15 - phone-first ("Call Now: 405-740-0697" in the header of every page; "Give us a call" on service pages) + gap proof (a) roofing is on the inherently-urgent list and (c) no 24/7/answering-service/AI-receptionist mention on 11 pages or in source. Caveat: GBP hours string not captured. | D3 Lead-response leak: 5/15 - exactly 1 signal type: (5) booking/contact friction verified in page source (no booking/chat/text scripts; Gravity form with no response-time promise). Signals (1)-(4) not checkable this run (GBP/Yelp/Nextdoor/Indeed blocked); (6) BBB 0 complaints. | D4 AI search visibility: 0/10 NO EVIDENCE - no AI platform could be checked this run; FAQPage schema exists on /faq/ (would cap a re-run at 6). | D5 ICP fit / ability to pay: 15/15 - (a) independent, 1 location, named owner, "Family Owned"; (b) roofing = core niche; (c) 4 proxies: since 1998 (About, BBB), roofing ticket row $8-15k, financing offered (FAQ), service area 3+ cities (OKC metro, Sayre, Guthrie, Ardmore, Coyle, Piedmont). | D6 Buying signals: 0/15 (partial null) - no trigger within 180 days; spend: (d) only GTM/gtag + defunct local web credit (no pixel/call tracking), (e) none, (a)(b)(c) not completed (search budget; Ad Library 403). Label: first-agency opportunity. | D7 Owner attitude: 3/10 - passive: site copyright 2020 / pages unchanged since 2021 (negative), social dormant since 2023, review replies unknown; one positive (financing offered); no red flags; no incumbent agency (greenfield). | TOTAL 52/100 - PROVISIONAL (missing: D4 AI spot-check on any platform; GBP hours string and review corpus for D2/D3; Google Ads/LSA/Meta/weather sweep for D6). Rubric band: WATCH until the 3-minute re-check; not eligible for SEND TODAY (D4 not run). Hard-disqualifier pass: PASS. Scout's 76 pre-score relied on an unverified Lantern rating and an un-run AI check.</t>
        </is>
      </c>
      <c r="BO26" s="8" t="inlineStr">
        <is>
          <t>https://evansroofingokc.com/contact-us/, https://evansroofingokc.com/about-us/, https://evansroofingokc.com/about-us/why-us/, https://www.bbb.org/us/ok/oklahoma-city/profile/roofing-contractors/evans-roofing-0995-90037712, https://opencorporates.com/companies/us_ok/3512044851, https://evansroofingokc.com/, https://evansroofingokc.com/faq/, https://evansroofingokc.com/author/marcus/, https://evansroofingokc.com/2020/11/how-common-are-building-leaks-mistaken-for-roof-leaks/, https://evansroofingokc.com/wp-sitemap-posts-page-1.xml, https://evansroofingokc.com/wp-sitemap-posts-post-1.xml, https://www.youtube.com/feeds/videos.xml?channel_id=UCPwP0YTuQoLlB3j4sonyKmg, https://evansroofingokc.com/residential/, https://evansroofingokc.com/commercial/, https://evansroofingokc.com/our-work/, https://evansroofingokc.com/about-us/references/, https://www.yellowpages.com/oklahoma-city-ok/mip/evans-roofing-24195317, https://nextdoor.com/pages/evans-roofing-oklahoma-city-ok/, https://evansroofingokc.com/robots.txt, https://dns.google/resolve?name=evansroofingokc.com&amp;type=MX, https://oklahoma.gov/cib.html, https://lantern.llc/b/evans-roofing-oklahoma-city (scout source; now 404)</t>
        </is>
      </c>
      <c r="BP26" s="8" t="inlineStr">
        <is>
          <t>Medium</t>
        </is>
      </c>
      <c r="BQ26" s="8" t="inlineStr">
        <is>
          <t>Title detail: Owner / founder (BBB "Business Management: Mr. Marcus Evans, Owner"; About page founder story; OK entity registered agent "MARCUS LYNN EVANS" at the business address). Verified in batch 1 research (2026-10-12), delivered today. 1) STATUS: 52 / PROVISIONAL. The gaps are tooling, not negative findings: WebSearch budget was exhausted this run and Google Maps, Yelp, Facebook, Instagram, Indeed, and Meta Ad Library all blocked fetches. A 3-minute re-check (GBP hours + 20 newest reviews, one AI money question on one platform, one Google SERP for 'roofing Oklahoma City') would settle D2-D4 and D6; with FAQ schema present D4 maxes at 6. 2) CONFIRMED items safe to use now: owner Marcus Evans (Owner, BBB + OK entity record + site), personal email marcus@evansroofingokc.com (mailto on own contact page, MX present), main line 405-740-0697 (site, BBB, YP), address 1530 NW 3rd St. 3) Route: Sam call-first (old-school lean, passive site) AND Sebastian plain-text email the same day since the personal email is confirmed - no "AI" in the subject. 4) Do NOT cite the 4.8/61 rating until verified on GBP (Lantern page is gone). 5) Rozel flags: suppression.csv near-match "Evans Roofing Company, Inc." (Elmira NY) is a different business; OK entity shows a termination/reinstatement in Oct-Dec 2022 (resolved, active); CIB roofing registration #80002005 is published on the site but the state lookup is JS-only and was not verified; GHL E4L Services dedupe not run by this agent. 6) Compliance: the owner-research playbook flags Oklahoma for mini-TCPA/telemarketer-registration rules - confirm before Sam's first OK dial. 7) Tone: mirror his plain, dry, anti-hype voice; short sentences; no agency words; never quote the 'scam' blog or his reviews back at him.</t>
        </is>
      </c>
      <c r="BR26" s="10" t="inlineStr"/>
      <c r="BS26" s="10" t="inlineStr"/>
      <c r="BT26" s="10" t="inlineStr"/>
    </row>
    <row r="27">
      <c r="D27" s="12" t="n"/>
      <c r="E27" s="12" t="n"/>
      <c r="G27" s="13">
        <f>IF(F27="","",IF(F27&gt;=80,"A — send today",IF(F27&gt;=60,"B — worth a touch",IF(F27&gt;=40,"C — hold","D — reject"))))</f>
        <v/>
      </c>
      <c r="BR27" s="12" t="n"/>
      <c r="BS27" s="12" t="n"/>
      <c r="BT27" s="12" t="n"/>
    </row>
    <row r="28">
      <c r="D28" s="12" t="n"/>
      <c r="E28" s="12" t="n"/>
      <c r="G28" s="13">
        <f>IF(F28="","",IF(F28&gt;=80,"A — send today",IF(F28&gt;=60,"B — worth a touch",IF(F28&gt;=40,"C — hold","D — reject"))))</f>
        <v/>
      </c>
      <c r="BR28" s="12" t="n"/>
      <c r="BS28" s="12" t="n"/>
      <c r="BT28" s="12" t="n"/>
    </row>
    <row r="29">
      <c r="D29" s="12" t="n"/>
      <c r="E29" s="12" t="n"/>
      <c r="G29" s="13">
        <f>IF(F29="","",IF(F29&gt;=80,"A — send today",IF(F29&gt;=60,"B — worth a touch",IF(F29&gt;=40,"C — hold","D — reject"))))</f>
        <v/>
      </c>
      <c r="BR29" s="12" t="n"/>
      <c r="BS29" s="12" t="n"/>
      <c r="BT29" s="12" t="n"/>
    </row>
    <row r="30">
      <c r="D30" s="12" t="n"/>
      <c r="E30" s="12" t="n"/>
      <c r="G30" s="13">
        <f>IF(F30="","",IF(F30&gt;=80,"A — send today",IF(F30&gt;=60,"B — worth a touch",IF(F30&gt;=40,"C — hold","D — reject"))))</f>
        <v/>
      </c>
      <c r="BR30" s="12" t="n"/>
      <c r="BS30" s="12" t="n"/>
      <c r="BT30" s="12" t="n"/>
    </row>
    <row r="31">
      <c r="D31" s="12" t="n"/>
      <c r="E31" s="12" t="n"/>
      <c r="G31" s="13">
        <f>IF(F31="","",IF(F31&gt;=80,"A — send today",IF(F31&gt;=60,"B — worth a touch",IF(F31&gt;=40,"C — hold","D — reject"))))</f>
        <v/>
      </c>
      <c r="BR31" s="12" t="n"/>
      <c r="BS31" s="12" t="n"/>
      <c r="BT31" s="12" t="n"/>
    </row>
    <row r="32">
      <c r="D32" s="12" t="n"/>
      <c r="E32" s="12" t="n"/>
      <c r="G32" s="13">
        <f>IF(F32="","",IF(F32&gt;=80,"A — send today",IF(F32&gt;=60,"B — worth a touch",IF(F32&gt;=40,"C — hold","D — reject"))))</f>
        <v/>
      </c>
      <c r="BR32" s="12" t="n"/>
      <c r="BS32" s="12" t="n"/>
      <c r="BT32" s="12" t="n"/>
    </row>
    <row r="33">
      <c r="D33" s="12" t="n"/>
      <c r="E33" s="12" t="n"/>
      <c r="G33" s="13">
        <f>IF(F33="","",IF(F33&gt;=80,"A — send today",IF(F33&gt;=60,"B — worth a touch",IF(F33&gt;=40,"C — hold","D — reject"))))</f>
        <v/>
      </c>
      <c r="BR33" s="12" t="n"/>
      <c r="BS33" s="12" t="n"/>
      <c r="BT33" s="12" t="n"/>
    </row>
    <row r="34">
      <c r="D34" s="12" t="n"/>
      <c r="E34" s="12" t="n"/>
      <c r="G34" s="13">
        <f>IF(F34="","",IF(F34&gt;=80,"A — send today",IF(F34&gt;=60,"B — worth a touch",IF(F34&gt;=40,"C — hold","D — reject"))))</f>
        <v/>
      </c>
      <c r="BR34" s="12" t="n"/>
      <c r="BS34" s="12" t="n"/>
      <c r="BT34" s="12" t="n"/>
    </row>
    <row r="35">
      <c r="D35" s="12" t="n"/>
      <c r="E35" s="12" t="n"/>
      <c r="G35" s="13">
        <f>IF(F35="","",IF(F35&gt;=80,"A — send today",IF(F35&gt;=60,"B — worth a touch",IF(F35&gt;=40,"C — hold","D — reject"))))</f>
        <v/>
      </c>
      <c r="BR35" s="12" t="n"/>
      <c r="BS35" s="12" t="n"/>
      <c r="BT35" s="12" t="n"/>
    </row>
    <row r="36">
      <c r="D36" s="12" t="n"/>
      <c r="E36" s="12" t="n"/>
      <c r="G36" s="13">
        <f>IF(F36="","",IF(F36&gt;=80,"A — send today",IF(F36&gt;=60,"B — worth a touch",IF(F36&gt;=40,"C — hold","D — reject"))))</f>
        <v/>
      </c>
      <c r="BR36" s="12" t="n"/>
      <c r="BS36" s="12" t="n"/>
      <c r="BT36" s="12" t="n"/>
    </row>
    <row r="37">
      <c r="D37" s="12" t="n"/>
      <c r="E37" s="12" t="n"/>
      <c r="G37" s="13">
        <f>IF(F37="","",IF(F37&gt;=80,"A — send today",IF(F37&gt;=60,"B — worth a touch",IF(F37&gt;=40,"C — hold","D — reject"))))</f>
        <v/>
      </c>
      <c r="BR37" s="12" t="n"/>
      <c r="BS37" s="12" t="n"/>
      <c r="BT37" s="12" t="n"/>
    </row>
    <row r="38">
      <c r="D38" s="12" t="n"/>
      <c r="E38" s="12" t="n"/>
      <c r="G38" s="13">
        <f>IF(F38="","",IF(F38&gt;=80,"A — send today",IF(F38&gt;=60,"B — worth a touch",IF(F38&gt;=40,"C — hold","D — reject"))))</f>
        <v/>
      </c>
      <c r="BR38" s="12" t="n"/>
      <c r="BS38" s="12" t="n"/>
      <c r="BT38" s="12" t="n"/>
    </row>
    <row r="39">
      <c r="D39" s="12" t="n"/>
      <c r="E39" s="12" t="n"/>
      <c r="G39" s="13">
        <f>IF(F39="","",IF(F39&gt;=80,"A — send today",IF(F39&gt;=60,"B — worth a touch",IF(F39&gt;=40,"C — hold","D — reject"))))</f>
        <v/>
      </c>
      <c r="BR39" s="12" t="n"/>
      <c r="BS39" s="12" t="n"/>
      <c r="BT39" s="12" t="n"/>
    </row>
    <row r="40">
      <c r="D40" s="12" t="n"/>
      <c r="E40" s="12" t="n"/>
      <c r="G40" s="13">
        <f>IF(F40="","",IF(F40&gt;=80,"A — send today",IF(F40&gt;=60,"B — worth a touch",IF(F40&gt;=40,"C — hold","D — reject"))))</f>
        <v/>
      </c>
      <c r="BR40" s="12" t="n"/>
      <c r="BS40" s="12" t="n"/>
      <c r="BT40" s="12" t="n"/>
    </row>
    <row r="41">
      <c r="D41" s="12" t="n"/>
      <c r="E41" s="12" t="n"/>
      <c r="G41" s="13">
        <f>IF(F41="","",IF(F41&gt;=80,"A — send today",IF(F41&gt;=60,"B — worth a touch",IF(F41&gt;=40,"C — hold","D — reject"))))</f>
        <v/>
      </c>
      <c r="BR41" s="12" t="n"/>
      <c r="BS41" s="12" t="n"/>
      <c r="BT41" s="12" t="n"/>
    </row>
    <row r="42">
      <c r="D42" s="12" t="n"/>
      <c r="E42" s="12" t="n"/>
      <c r="G42" s="13">
        <f>IF(F42="","",IF(F42&gt;=80,"A — send today",IF(F42&gt;=60,"B — worth a touch",IF(F42&gt;=40,"C — hold","D — reject"))))</f>
        <v/>
      </c>
      <c r="BR42" s="12" t="n"/>
      <c r="BS42" s="12" t="n"/>
      <c r="BT42" s="12" t="n"/>
    </row>
    <row r="43">
      <c r="D43" s="12" t="n"/>
      <c r="E43" s="12" t="n"/>
      <c r="G43" s="13">
        <f>IF(F43="","",IF(F43&gt;=80,"A — send today",IF(F43&gt;=60,"B — worth a touch",IF(F43&gt;=40,"C — hold","D — reject"))))</f>
        <v/>
      </c>
      <c r="BR43" s="12" t="n"/>
      <c r="BS43" s="12" t="n"/>
      <c r="BT43" s="12" t="n"/>
    </row>
    <row r="44">
      <c r="D44" s="12" t="n"/>
      <c r="E44" s="12" t="n"/>
      <c r="G44" s="13">
        <f>IF(F44="","",IF(F44&gt;=80,"A — send today",IF(F44&gt;=60,"B — worth a touch",IF(F44&gt;=40,"C — hold","D — reject"))))</f>
        <v/>
      </c>
      <c r="BR44" s="12" t="n"/>
      <c r="BS44" s="12" t="n"/>
      <c r="BT44" s="12" t="n"/>
    </row>
    <row r="45">
      <c r="D45" s="12" t="n"/>
      <c r="E45" s="12" t="n"/>
      <c r="G45" s="13">
        <f>IF(F45="","",IF(F45&gt;=80,"A — send today",IF(F45&gt;=60,"B — worth a touch",IF(F45&gt;=40,"C — hold","D — reject"))))</f>
        <v/>
      </c>
      <c r="BR45" s="12" t="n"/>
      <c r="BS45" s="12" t="n"/>
      <c r="BT45" s="12" t="n"/>
    </row>
    <row r="46">
      <c r="D46" s="12" t="n"/>
      <c r="E46" s="12" t="n"/>
      <c r="G46" s="13">
        <f>IF(F46="","",IF(F46&gt;=80,"A — send today",IF(F46&gt;=60,"B — worth a touch",IF(F46&gt;=40,"C — hold","D — reject"))))</f>
        <v/>
      </c>
      <c r="BR46" s="12" t="n"/>
      <c r="BS46" s="12" t="n"/>
      <c r="BT46" s="12" t="n"/>
    </row>
    <row r="47">
      <c r="D47" s="12" t="n"/>
      <c r="E47" s="12" t="n"/>
      <c r="G47" s="13">
        <f>IF(F47="","",IF(F47&gt;=80,"A — send today",IF(F47&gt;=60,"B — worth a touch",IF(F47&gt;=40,"C — hold","D — reject"))))</f>
        <v/>
      </c>
      <c r="BR47" s="12" t="n"/>
      <c r="BS47" s="12" t="n"/>
      <c r="BT47" s="12" t="n"/>
    </row>
    <row r="48">
      <c r="D48" s="12" t="n"/>
      <c r="E48" s="12" t="n"/>
      <c r="G48" s="13">
        <f>IF(F48="","",IF(F48&gt;=80,"A — send today",IF(F48&gt;=60,"B — worth a touch",IF(F48&gt;=40,"C — hold","D — reject"))))</f>
        <v/>
      </c>
      <c r="BR48" s="12" t="n"/>
      <c r="BS48" s="12" t="n"/>
      <c r="BT48" s="12" t="n"/>
    </row>
    <row r="49">
      <c r="D49" s="12" t="n"/>
      <c r="E49" s="12" t="n"/>
      <c r="G49" s="13">
        <f>IF(F49="","",IF(F49&gt;=80,"A — send today",IF(F49&gt;=60,"B — worth a touch",IF(F49&gt;=40,"C — hold","D — reject"))))</f>
        <v/>
      </c>
      <c r="BR49" s="12" t="n"/>
      <c r="BS49" s="12" t="n"/>
      <c r="BT49" s="12" t="n"/>
    </row>
    <row r="50">
      <c r="D50" s="12" t="n"/>
      <c r="E50" s="12" t="n"/>
      <c r="G50" s="13">
        <f>IF(F50="","",IF(F50&gt;=80,"A — send today",IF(F50&gt;=60,"B — worth a touch",IF(F50&gt;=40,"C — hold","D — reject"))))</f>
        <v/>
      </c>
      <c r="BR50" s="12" t="n"/>
      <c r="BS50" s="12" t="n"/>
      <c r="BT50" s="12" t="n"/>
    </row>
    <row r="51">
      <c r="D51" s="12" t="n"/>
      <c r="E51" s="12" t="n"/>
      <c r="G51" s="13">
        <f>IF(F51="","",IF(F51&gt;=80,"A — send today",IF(F51&gt;=60,"B — worth a touch",IF(F51&gt;=40,"C — hold","D — reject"))))</f>
        <v/>
      </c>
      <c r="BR51" s="12" t="n"/>
      <c r="BS51" s="12" t="n"/>
      <c r="BT51" s="12" t="n"/>
    </row>
    <row r="52">
      <c r="D52" s="12" t="n"/>
      <c r="E52" s="12" t="n"/>
      <c r="G52" s="13">
        <f>IF(F52="","",IF(F52&gt;=80,"A — send today",IF(F52&gt;=60,"B — worth a touch",IF(F52&gt;=40,"C — hold","D — reject"))))</f>
        <v/>
      </c>
      <c r="BR52" s="12" t="n"/>
      <c r="BS52" s="12" t="n"/>
      <c r="BT52" s="12" t="n"/>
    </row>
    <row r="53">
      <c r="D53" s="12" t="n"/>
      <c r="E53" s="12" t="n"/>
      <c r="G53" s="13">
        <f>IF(F53="","",IF(F53&gt;=80,"A — send today",IF(F53&gt;=60,"B — worth a touch",IF(F53&gt;=40,"C — hold","D — reject"))))</f>
        <v/>
      </c>
      <c r="BR53" s="12" t="n"/>
      <c r="BS53" s="12" t="n"/>
      <c r="BT53" s="12" t="n"/>
    </row>
    <row r="54">
      <c r="D54" s="12" t="n"/>
      <c r="E54" s="12" t="n"/>
      <c r="G54" s="13">
        <f>IF(F54="","",IF(F54&gt;=80,"A — send today",IF(F54&gt;=60,"B — worth a touch",IF(F54&gt;=40,"C — hold","D — reject"))))</f>
        <v/>
      </c>
      <c r="BR54" s="12" t="n"/>
      <c r="BS54" s="12" t="n"/>
      <c r="BT54" s="12" t="n"/>
    </row>
    <row r="55">
      <c r="D55" s="12" t="n"/>
      <c r="E55" s="12" t="n"/>
      <c r="G55" s="13">
        <f>IF(F55="","",IF(F55&gt;=80,"A — send today",IF(F55&gt;=60,"B — worth a touch",IF(F55&gt;=40,"C — hold","D — reject"))))</f>
        <v/>
      </c>
      <c r="BR55" s="12" t="n"/>
      <c r="BS55" s="12" t="n"/>
      <c r="BT55" s="12" t="n"/>
    </row>
    <row r="56">
      <c r="D56" s="12" t="n"/>
      <c r="E56" s="12" t="n"/>
      <c r="G56" s="13">
        <f>IF(F56="","",IF(F56&gt;=80,"A — send today",IF(F56&gt;=60,"B — worth a touch",IF(F56&gt;=40,"C — hold","D — reject"))))</f>
        <v/>
      </c>
      <c r="BR56" s="12" t="n"/>
      <c r="BS56" s="12" t="n"/>
      <c r="BT56" s="12" t="n"/>
    </row>
    <row r="57">
      <c r="D57" s="12" t="n"/>
      <c r="E57" s="12" t="n"/>
      <c r="G57" s="13">
        <f>IF(F57="","",IF(F57&gt;=80,"A — send today",IF(F57&gt;=60,"B — worth a touch",IF(F57&gt;=40,"C — hold","D — reject"))))</f>
        <v/>
      </c>
      <c r="BR57" s="12" t="n"/>
      <c r="BS57" s="12" t="n"/>
      <c r="BT57" s="12" t="n"/>
    </row>
    <row r="58">
      <c r="D58" s="12" t="n"/>
      <c r="E58" s="12" t="n"/>
      <c r="G58" s="13">
        <f>IF(F58="","",IF(F58&gt;=80,"A — send today",IF(F58&gt;=60,"B — worth a touch",IF(F58&gt;=40,"C — hold","D — reject"))))</f>
        <v/>
      </c>
      <c r="BR58" s="12" t="n"/>
      <c r="BS58" s="12" t="n"/>
      <c r="BT58" s="12" t="n"/>
    </row>
    <row r="59">
      <c r="D59" s="12" t="n"/>
      <c r="E59" s="12" t="n"/>
      <c r="G59" s="13">
        <f>IF(F59="","",IF(F59&gt;=80,"A — send today",IF(F59&gt;=60,"B — worth a touch",IF(F59&gt;=40,"C — hold","D — reject"))))</f>
        <v/>
      </c>
      <c r="BR59" s="12" t="n"/>
      <c r="BS59" s="12" t="n"/>
      <c r="BT59" s="12" t="n"/>
    </row>
    <row r="60">
      <c r="D60" s="12" t="n"/>
      <c r="E60" s="12" t="n"/>
      <c r="G60" s="13">
        <f>IF(F60="","",IF(F60&gt;=80,"A — send today",IF(F60&gt;=60,"B — worth a touch",IF(F60&gt;=40,"C — hold","D — reject"))))</f>
        <v/>
      </c>
      <c r="BR60" s="12" t="n"/>
      <c r="BS60" s="12" t="n"/>
      <c r="BT60" s="12" t="n"/>
    </row>
    <row r="61">
      <c r="D61" s="12" t="n"/>
      <c r="E61" s="12" t="n"/>
      <c r="G61" s="13">
        <f>IF(F61="","",IF(F61&gt;=80,"A — send today",IF(F61&gt;=60,"B — worth a touch",IF(F61&gt;=40,"C — hold","D — reject"))))</f>
        <v/>
      </c>
      <c r="BR61" s="12" t="n"/>
      <c r="BS61" s="12" t="n"/>
      <c r="BT61" s="12" t="n"/>
    </row>
  </sheetData>
  <autoFilter ref="A1:BT61"/>
  <conditionalFormatting sqref="F2:F61">
    <cfRule type="cellIs" priority="1" operator="greaterThanOrEqual" dxfId="0">
      <formula>80</formula>
    </cfRule>
    <cfRule type="cellIs" priority="2" operator="between" dxfId="1">
      <formula>60</formula>
      <formula>79.999</formula>
    </cfRule>
    <cfRule type="cellIs" priority="3" operator="lessThan" dxfId="2">
      <formula>60</formula>
    </cfRule>
  </conditionalFormatting>
  <conditionalFormatting sqref="D2:D61">
    <cfRule type="expression" priority="4" dxfId="0">
      <formula>D2="Approve"</formula>
    </cfRule>
    <cfRule type="expression" priority="5" dxfId="2">
      <formula>D2="Reject"</formula>
    </cfRule>
    <cfRule type="expression" priority="6" dxfId="1">
      <formula>D2="Hold"</formula>
    </cfRule>
  </conditionalFormatting>
  <dataValidations count="9">
    <dataValidation sqref="D2:D61" showDropDown="0" showInputMessage="0" showErrorMessage="0" allowBlank="1" errorTitle="Invalid value" error="Pick one of the listed values" type="list">
      <formula1>"Approve,Hold,Reject"</formula1>
    </dataValidation>
    <dataValidation sqref="E2:E61" showDropDown="0" showInputMessage="0" showErrorMessage="0" allowBlank="1" errorTitle="Invalid value" error="Pick one of the listed values" type="list">
      <formula1>"New,Reviewed,Loaded to GHL,Emailed,Called,Replied,Booked,Dead"</formula1>
    </dataValidation>
    <dataValidation sqref="M2:M61" showDropDown="0" showInputMessage="0" showErrorMessage="0" allowBlank="1" errorTitle="Invalid value" error="Pick one of the listed values" type="list">
      <formula1>"Personal (named),Role (owner@/sales@),Generic (info@/office@),None found"</formula1>
    </dataValidation>
    <dataValidation sqref="N2:N61" showDropDown="0" showInputMessage="0" showErrorMessage="0" allowBlank="1" errorTitle="Invalid value" error="Pick one of the listed values" type="list">
      <formula1>"Confirmed,Likely,Unverified,Not found"</formula1>
    </dataValidation>
    <dataValidation sqref="R2:R61" showDropDown="0" showInputMessage="0" showErrorMessage="0" allowBlank="1" errorTitle="Invalid value" error="Pick one of the listed values" type="list">
      <formula1>"core,extend"</formula1>
    </dataValidation>
    <dataValidation sqref="W2:W61" showDropDown="0" showInputMessage="0" showErrorMessage="0" allowBlank="1" errorTitle="Invalid value" error="Pick one of the listed values" type="list">
      <formula1>"Voice AI live demo,Free GEO audit,Revenue Leak Scorecard,Speed-to-lead automation,AI-readable site build"</formula1>
    </dataValidation>
    <dataValidation sqref="X2:X61" showDropDown="0" showInputMessage="0" showErrorMessage="0" allowBlank="1" errorTitle="Invalid value" error="Pick one of the listed values" type="list">
      <formula1>"Recover,Accelerate,Own,À la carte"</formula1>
    </dataValidation>
    <dataValidation sqref="AN2:AN61" showDropDown="0" showInputMessage="0" showErrorMessage="0" allowBlank="1" errorTitle="Invalid value" error="Pick one of the listed values" type="list">
      <formula1>"Owner-operator,Owner (absentee / multi-business),Manager / non-owner decision-maker,Unknown"</formula1>
    </dataValidation>
    <dataValidation sqref="BP2:BP61" showDropDown="0" showInputMessage="0" showErrorMessage="0" allowBlank="1" errorTitle="Invalid value" error="Pick one of the listed values" type="list">
      <formula1>"High,Medium,Low"</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V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28" customWidth="1" min="4" max="4"/>
    <col width="17" customWidth="1" min="5" max="5"/>
    <col width="28" customWidth="1" min="6" max="6"/>
    <col width="30" customWidth="1" min="7" max="7"/>
    <col width="28" customWidth="1" min="8" max="8"/>
    <col width="20" customWidth="1" min="9" max="9"/>
    <col width="7" customWidth="1" min="10" max="10"/>
    <col width="10" customWidth="1" min="11" max="11"/>
    <col width="20" customWidth="1" min="12" max="12"/>
    <col width="60" customWidth="1" min="13" max="13"/>
    <col width="14" customWidth="1" min="14" max="14"/>
    <col width="10" customWidth="1" min="15" max="15"/>
    <col width="22" customWidth="1" min="16" max="16"/>
    <col width="22" customWidth="1" min="17" max="17"/>
    <col width="30" customWidth="1" min="18" max="18"/>
    <col width="40" customWidth="1" min="19" max="19"/>
    <col width="50" customWidth="1" min="20" max="20"/>
    <col width="50" customWidth="1" min="21" max="21"/>
    <col width="16" customWidth="1" min="22" max="22"/>
  </cols>
  <sheetData>
    <row r="1" ht="32" customHeight="1">
      <c r="A1" s="7" t="inlineStr">
        <is>
          <t>Review Decision</t>
        </is>
      </c>
      <c r="B1" s="7" t="inlineStr">
        <is>
          <t>First Name</t>
        </is>
      </c>
      <c r="C1" s="7" t="inlineStr">
        <is>
          <t>Last Name</t>
        </is>
      </c>
      <c r="D1" s="7" t="inlineStr">
        <is>
          <t>Email</t>
        </is>
      </c>
      <c r="E1" s="7" t="inlineStr">
        <is>
          <t>Phone</t>
        </is>
      </c>
      <c r="F1" s="7" t="inlineStr">
        <is>
          <t>Company Name</t>
        </is>
      </c>
      <c r="G1" s="7" t="inlineStr">
        <is>
          <t>Website</t>
        </is>
      </c>
      <c r="H1" s="7" t="inlineStr">
        <is>
          <t>Address</t>
        </is>
      </c>
      <c r="I1" s="7" t="inlineStr">
        <is>
          <t>City</t>
        </is>
      </c>
      <c r="J1" s="7" t="inlineStr">
        <is>
          <t>State</t>
        </is>
      </c>
      <c r="K1" s="7" t="inlineStr">
        <is>
          <t>Postal Code</t>
        </is>
      </c>
      <c r="L1" s="7" t="inlineStr">
        <is>
          <t>Source</t>
        </is>
      </c>
      <c r="M1" s="7" t="inlineStr">
        <is>
          <t>Tags</t>
        </is>
      </c>
      <c r="N1" s="7" t="inlineStr">
        <is>
          <t>LM Lead ID</t>
        </is>
      </c>
      <c r="O1" s="7" t="inlineStr">
        <is>
          <t>LM Lead Score</t>
        </is>
      </c>
      <c r="P1" s="7" t="inlineStr">
        <is>
          <t>LM Attitude</t>
        </is>
      </c>
      <c r="Q1" s="7" t="inlineStr">
        <is>
          <t>LM Entry Offer</t>
        </is>
      </c>
      <c r="R1" s="7" t="inlineStr">
        <is>
          <t>LM Owner LinkedIn</t>
        </is>
      </c>
      <c r="S1" s="7" t="inlineStr">
        <is>
          <t>LM Why Now</t>
        </is>
      </c>
      <c r="T1" s="7" t="inlineStr">
        <is>
          <t>LM First Line</t>
        </is>
      </c>
      <c r="U1" s="7" t="inlineStr">
        <is>
          <t>LM Call Angle</t>
        </is>
      </c>
      <c r="V1" s="7" t="inlineStr">
        <is>
          <t>LM Owner Title</t>
        </is>
      </c>
    </row>
    <row r="2">
      <c r="A2" s="13">
        <f>IF(Leads!D2="","",Leads!D2)</f>
        <v/>
      </c>
      <c r="B2" s="13">
        <f>IF(Leads!I2="","",Leads!I2)</f>
        <v/>
      </c>
      <c r="C2" s="13">
        <f>IF(Leads!J2="","",Leads!J2)</f>
        <v/>
      </c>
      <c r="D2" s="13">
        <f>IF(OR(Leads!L2="",Leads!L2="Not found"),IF(OR(Leads!AR2="",Leads!AR2="Not found"),"",Leads!AR2),Leads!L2)</f>
        <v/>
      </c>
      <c r="E2" s="13">
        <f>IF(OR(Leads!O2="",Leads!O2="Not found"),Leads!P2,Leads!O2)</f>
        <v/>
      </c>
      <c r="F2" s="13">
        <f>IF(Leads!H2="","",Leads!H2)</f>
        <v/>
      </c>
      <c r="G2" s="13">
        <f>IF(Leads!AQ2="","",Leads!AQ2)</f>
        <v/>
      </c>
      <c r="H2" s="13">
        <f>IF(Leads!AS2="","",Leads!AS2)</f>
        <v/>
      </c>
      <c r="I2" s="13">
        <f>IF(Leads!S2="","",Leads!S2)</f>
        <v/>
      </c>
      <c r="J2" s="13">
        <f>IF(Leads!T2="","",Leads!T2)</f>
        <v/>
      </c>
      <c r="K2" s="13">
        <f>IF(Leads!AT2="","",Leads!AT2)</f>
        <v/>
      </c>
      <c r="L2" s="13" t="inlineStr">
        <is>
          <t>cold-outreach:lead-machine</t>
        </is>
      </c>
      <c r="M2" s="13">
        <f>IF(Leads!H2="","","cold-outreach,lead-machine,status:drafted,industry:"&amp;LOWER(SUBSTITUTE(SUBSTITUTE(SUBSTITUTE(TRIM(Leads!Q2)," ","-"),"/","-"),"&amp;","and"))&amp;",city:"&amp;LOWER(SUBSTITUTE(TRIM(Leads!S2)," ","-"))&amp;",entry:"&amp;LOWER(SUBSTITUTE(TRIM(Leads!W2)," ","-"))&amp;",attitude:"&amp;LOWER(SUBSTITUTE(SUBSTITUTE(TRIM(Leads!V2)," ","-"),"/","-")))</f>
        <v/>
      </c>
      <c r="N2" s="13">
        <f>IF(Leads!A2="","",Leads!A2)</f>
        <v/>
      </c>
      <c r="O2" s="13">
        <f>IF(Leads!F2="","",Leads!F2)</f>
        <v/>
      </c>
      <c r="P2" s="13">
        <f>IF(Leads!V2="","",Leads!V2)</f>
        <v/>
      </c>
      <c r="Q2" s="13">
        <f>IF(Leads!W2="","",Leads!W2)</f>
        <v/>
      </c>
      <c r="R2" s="13">
        <f>IF(Leads!AO2="","",Leads!AO2)</f>
        <v/>
      </c>
      <c r="S2" s="13">
        <f>IF(Leads!U2="","",Leads!U2)</f>
        <v/>
      </c>
      <c r="T2" s="13">
        <f>IF(Leads!Z2="","",Leads!Z2)</f>
        <v/>
      </c>
      <c r="U2" s="13">
        <f>IF(Leads!AA2="","",Leads!AA2)</f>
        <v/>
      </c>
      <c r="V2" s="13">
        <f>IF(Leads!K2="","",Leads!K2)</f>
        <v/>
      </c>
    </row>
    <row r="3">
      <c r="A3" s="13">
        <f>IF(Leads!D3="","",Leads!D3)</f>
        <v/>
      </c>
      <c r="B3" s="13">
        <f>IF(Leads!I3="","",Leads!I3)</f>
        <v/>
      </c>
      <c r="C3" s="13">
        <f>IF(Leads!J3="","",Leads!J3)</f>
        <v/>
      </c>
      <c r="D3" s="13">
        <f>IF(OR(Leads!L3="",Leads!L3="Not found"),IF(OR(Leads!AR3="",Leads!AR3="Not found"),"",Leads!AR3),Leads!L3)</f>
        <v/>
      </c>
      <c r="E3" s="13">
        <f>IF(OR(Leads!O3="",Leads!O3="Not found"),Leads!P3,Leads!O3)</f>
        <v/>
      </c>
      <c r="F3" s="13">
        <f>IF(Leads!H3="","",Leads!H3)</f>
        <v/>
      </c>
      <c r="G3" s="13">
        <f>IF(Leads!AQ3="","",Leads!AQ3)</f>
        <v/>
      </c>
      <c r="H3" s="13">
        <f>IF(Leads!AS3="","",Leads!AS3)</f>
        <v/>
      </c>
      <c r="I3" s="13">
        <f>IF(Leads!S3="","",Leads!S3)</f>
        <v/>
      </c>
      <c r="J3" s="13">
        <f>IF(Leads!T3="","",Leads!T3)</f>
        <v/>
      </c>
      <c r="K3" s="13">
        <f>IF(Leads!AT3="","",Leads!AT3)</f>
        <v/>
      </c>
      <c r="L3" s="13" t="inlineStr">
        <is>
          <t>cold-outreach:lead-machine</t>
        </is>
      </c>
      <c r="M3" s="13">
        <f>IF(Leads!H3="","","cold-outreach,lead-machine,status:drafted,industry:"&amp;LOWER(SUBSTITUTE(SUBSTITUTE(SUBSTITUTE(TRIM(Leads!Q3)," ","-"),"/","-"),"&amp;","and"))&amp;",city:"&amp;LOWER(SUBSTITUTE(TRIM(Leads!S3)," ","-"))&amp;",entry:"&amp;LOWER(SUBSTITUTE(TRIM(Leads!W3)," ","-"))&amp;",attitude:"&amp;LOWER(SUBSTITUTE(SUBSTITUTE(TRIM(Leads!V3)," ","-"),"/","-")))</f>
        <v/>
      </c>
      <c r="N3" s="13">
        <f>IF(Leads!A3="","",Leads!A3)</f>
        <v/>
      </c>
      <c r="O3" s="13">
        <f>IF(Leads!F3="","",Leads!F3)</f>
        <v/>
      </c>
      <c r="P3" s="13">
        <f>IF(Leads!V3="","",Leads!V3)</f>
        <v/>
      </c>
      <c r="Q3" s="13">
        <f>IF(Leads!W3="","",Leads!W3)</f>
        <v/>
      </c>
      <c r="R3" s="13">
        <f>IF(Leads!AO3="","",Leads!AO3)</f>
        <v/>
      </c>
      <c r="S3" s="13">
        <f>IF(Leads!U3="","",Leads!U3)</f>
        <v/>
      </c>
      <c r="T3" s="13">
        <f>IF(Leads!Z3="","",Leads!Z3)</f>
        <v/>
      </c>
      <c r="U3" s="13">
        <f>IF(Leads!AA3="","",Leads!AA3)</f>
        <v/>
      </c>
      <c r="V3" s="13">
        <f>IF(Leads!K3="","",Leads!K3)</f>
        <v/>
      </c>
    </row>
    <row r="4">
      <c r="A4" s="13">
        <f>IF(Leads!D4="","",Leads!D4)</f>
        <v/>
      </c>
      <c r="B4" s="13">
        <f>IF(Leads!I4="","",Leads!I4)</f>
        <v/>
      </c>
      <c r="C4" s="13">
        <f>IF(Leads!J4="","",Leads!J4)</f>
        <v/>
      </c>
      <c r="D4" s="13">
        <f>IF(OR(Leads!L4="",Leads!L4="Not found"),IF(OR(Leads!AR4="",Leads!AR4="Not found"),"",Leads!AR4),Leads!L4)</f>
        <v/>
      </c>
      <c r="E4" s="13">
        <f>IF(OR(Leads!O4="",Leads!O4="Not found"),Leads!P4,Leads!O4)</f>
        <v/>
      </c>
      <c r="F4" s="13">
        <f>IF(Leads!H4="","",Leads!H4)</f>
        <v/>
      </c>
      <c r="G4" s="13">
        <f>IF(Leads!AQ4="","",Leads!AQ4)</f>
        <v/>
      </c>
      <c r="H4" s="13">
        <f>IF(Leads!AS4="","",Leads!AS4)</f>
        <v/>
      </c>
      <c r="I4" s="13">
        <f>IF(Leads!S4="","",Leads!S4)</f>
        <v/>
      </c>
      <c r="J4" s="13">
        <f>IF(Leads!T4="","",Leads!T4)</f>
        <v/>
      </c>
      <c r="K4" s="13">
        <f>IF(Leads!AT4="","",Leads!AT4)</f>
        <v/>
      </c>
      <c r="L4" s="13" t="inlineStr">
        <is>
          <t>cold-outreach:lead-machine</t>
        </is>
      </c>
      <c r="M4" s="13">
        <f>IF(Leads!H4="","","cold-outreach,lead-machine,status:drafted,industry:"&amp;LOWER(SUBSTITUTE(SUBSTITUTE(SUBSTITUTE(TRIM(Leads!Q4)," ","-"),"/","-"),"&amp;","and"))&amp;",city:"&amp;LOWER(SUBSTITUTE(TRIM(Leads!S4)," ","-"))&amp;",entry:"&amp;LOWER(SUBSTITUTE(TRIM(Leads!W4)," ","-"))&amp;",attitude:"&amp;LOWER(SUBSTITUTE(SUBSTITUTE(TRIM(Leads!V4)," ","-"),"/","-")))</f>
        <v/>
      </c>
      <c r="N4" s="13">
        <f>IF(Leads!A4="","",Leads!A4)</f>
        <v/>
      </c>
      <c r="O4" s="13">
        <f>IF(Leads!F4="","",Leads!F4)</f>
        <v/>
      </c>
      <c r="P4" s="13">
        <f>IF(Leads!V4="","",Leads!V4)</f>
        <v/>
      </c>
      <c r="Q4" s="13">
        <f>IF(Leads!W4="","",Leads!W4)</f>
        <v/>
      </c>
      <c r="R4" s="13">
        <f>IF(Leads!AO4="","",Leads!AO4)</f>
        <v/>
      </c>
      <c r="S4" s="13">
        <f>IF(Leads!U4="","",Leads!U4)</f>
        <v/>
      </c>
      <c r="T4" s="13">
        <f>IF(Leads!Z4="","",Leads!Z4)</f>
        <v/>
      </c>
      <c r="U4" s="13">
        <f>IF(Leads!AA4="","",Leads!AA4)</f>
        <v/>
      </c>
      <c r="V4" s="13">
        <f>IF(Leads!K4="","",Leads!K4)</f>
        <v/>
      </c>
    </row>
    <row r="5">
      <c r="A5" s="13">
        <f>IF(Leads!D5="","",Leads!D5)</f>
        <v/>
      </c>
      <c r="B5" s="13">
        <f>IF(Leads!I5="","",Leads!I5)</f>
        <v/>
      </c>
      <c r="C5" s="13">
        <f>IF(Leads!J5="","",Leads!J5)</f>
        <v/>
      </c>
      <c r="D5" s="13">
        <f>IF(OR(Leads!L5="",Leads!L5="Not found"),IF(OR(Leads!AR5="",Leads!AR5="Not found"),"",Leads!AR5),Leads!L5)</f>
        <v/>
      </c>
      <c r="E5" s="13">
        <f>IF(OR(Leads!O5="",Leads!O5="Not found"),Leads!P5,Leads!O5)</f>
        <v/>
      </c>
      <c r="F5" s="13">
        <f>IF(Leads!H5="","",Leads!H5)</f>
        <v/>
      </c>
      <c r="G5" s="13">
        <f>IF(Leads!AQ5="","",Leads!AQ5)</f>
        <v/>
      </c>
      <c r="H5" s="13">
        <f>IF(Leads!AS5="","",Leads!AS5)</f>
        <v/>
      </c>
      <c r="I5" s="13">
        <f>IF(Leads!S5="","",Leads!S5)</f>
        <v/>
      </c>
      <c r="J5" s="13">
        <f>IF(Leads!T5="","",Leads!T5)</f>
        <v/>
      </c>
      <c r="K5" s="13">
        <f>IF(Leads!AT5="","",Leads!AT5)</f>
        <v/>
      </c>
      <c r="L5" s="13" t="inlineStr">
        <is>
          <t>cold-outreach:lead-machine</t>
        </is>
      </c>
      <c r="M5" s="13">
        <f>IF(Leads!H5="","","cold-outreach,lead-machine,status:drafted,industry:"&amp;LOWER(SUBSTITUTE(SUBSTITUTE(SUBSTITUTE(TRIM(Leads!Q5)," ","-"),"/","-"),"&amp;","and"))&amp;",city:"&amp;LOWER(SUBSTITUTE(TRIM(Leads!S5)," ","-"))&amp;",entry:"&amp;LOWER(SUBSTITUTE(TRIM(Leads!W5)," ","-"))&amp;",attitude:"&amp;LOWER(SUBSTITUTE(SUBSTITUTE(TRIM(Leads!V5)," ","-"),"/","-")))</f>
        <v/>
      </c>
      <c r="N5" s="13">
        <f>IF(Leads!A5="","",Leads!A5)</f>
        <v/>
      </c>
      <c r="O5" s="13">
        <f>IF(Leads!F5="","",Leads!F5)</f>
        <v/>
      </c>
      <c r="P5" s="13">
        <f>IF(Leads!V5="","",Leads!V5)</f>
        <v/>
      </c>
      <c r="Q5" s="13">
        <f>IF(Leads!W5="","",Leads!W5)</f>
        <v/>
      </c>
      <c r="R5" s="13">
        <f>IF(Leads!AO5="","",Leads!AO5)</f>
        <v/>
      </c>
      <c r="S5" s="13">
        <f>IF(Leads!U5="","",Leads!U5)</f>
        <v/>
      </c>
      <c r="T5" s="13">
        <f>IF(Leads!Z5="","",Leads!Z5)</f>
        <v/>
      </c>
      <c r="U5" s="13">
        <f>IF(Leads!AA5="","",Leads!AA5)</f>
        <v/>
      </c>
      <c r="V5" s="13">
        <f>IF(Leads!K5="","",Leads!K5)</f>
        <v/>
      </c>
    </row>
    <row r="6">
      <c r="A6" s="13">
        <f>IF(Leads!D6="","",Leads!D6)</f>
        <v/>
      </c>
      <c r="B6" s="13">
        <f>IF(Leads!I6="","",Leads!I6)</f>
        <v/>
      </c>
      <c r="C6" s="13">
        <f>IF(Leads!J6="","",Leads!J6)</f>
        <v/>
      </c>
      <c r="D6" s="13">
        <f>IF(OR(Leads!L6="",Leads!L6="Not found"),IF(OR(Leads!AR6="",Leads!AR6="Not found"),"",Leads!AR6),Leads!L6)</f>
        <v/>
      </c>
      <c r="E6" s="13">
        <f>IF(OR(Leads!O6="",Leads!O6="Not found"),Leads!P6,Leads!O6)</f>
        <v/>
      </c>
      <c r="F6" s="13">
        <f>IF(Leads!H6="","",Leads!H6)</f>
        <v/>
      </c>
      <c r="G6" s="13">
        <f>IF(Leads!AQ6="","",Leads!AQ6)</f>
        <v/>
      </c>
      <c r="H6" s="13">
        <f>IF(Leads!AS6="","",Leads!AS6)</f>
        <v/>
      </c>
      <c r="I6" s="13">
        <f>IF(Leads!S6="","",Leads!S6)</f>
        <v/>
      </c>
      <c r="J6" s="13">
        <f>IF(Leads!T6="","",Leads!T6)</f>
        <v/>
      </c>
      <c r="K6" s="13">
        <f>IF(Leads!AT6="","",Leads!AT6)</f>
        <v/>
      </c>
      <c r="L6" s="13" t="inlineStr">
        <is>
          <t>cold-outreach:lead-machine</t>
        </is>
      </c>
      <c r="M6" s="13">
        <f>IF(Leads!H6="","","cold-outreach,lead-machine,status:drafted,industry:"&amp;LOWER(SUBSTITUTE(SUBSTITUTE(SUBSTITUTE(TRIM(Leads!Q6)," ","-"),"/","-"),"&amp;","and"))&amp;",city:"&amp;LOWER(SUBSTITUTE(TRIM(Leads!S6)," ","-"))&amp;",entry:"&amp;LOWER(SUBSTITUTE(TRIM(Leads!W6)," ","-"))&amp;",attitude:"&amp;LOWER(SUBSTITUTE(SUBSTITUTE(TRIM(Leads!V6)," ","-"),"/","-")))</f>
        <v/>
      </c>
      <c r="N6" s="13">
        <f>IF(Leads!A6="","",Leads!A6)</f>
        <v/>
      </c>
      <c r="O6" s="13">
        <f>IF(Leads!F6="","",Leads!F6)</f>
        <v/>
      </c>
      <c r="P6" s="13">
        <f>IF(Leads!V6="","",Leads!V6)</f>
        <v/>
      </c>
      <c r="Q6" s="13">
        <f>IF(Leads!W6="","",Leads!W6)</f>
        <v/>
      </c>
      <c r="R6" s="13">
        <f>IF(Leads!AO6="","",Leads!AO6)</f>
        <v/>
      </c>
      <c r="S6" s="13">
        <f>IF(Leads!U6="","",Leads!U6)</f>
        <v/>
      </c>
      <c r="T6" s="13">
        <f>IF(Leads!Z6="","",Leads!Z6)</f>
        <v/>
      </c>
      <c r="U6" s="13">
        <f>IF(Leads!AA6="","",Leads!AA6)</f>
        <v/>
      </c>
      <c r="V6" s="13">
        <f>IF(Leads!K6="","",Leads!K6)</f>
        <v/>
      </c>
    </row>
    <row r="7">
      <c r="A7" s="13">
        <f>IF(Leads!D7="","",Leads!D7)</f>
        <v/>
      </c>
      <c r="B7" s="13">
        <f>IF(Leads!I7="","",Leads!I7)</f>
        <v/>
      </c>
      <c r="C7" s="13">
        <f>IF(Leads!J7="","",Leads!J7)</f>
        <v/>
      </c>
      <c r="D7" s="13">
        <f>IF(OR(Leads!L7="",Leads!L7="Not found"),IF(OR(Leads!AR7="",Leads!AR7="Not found"),"",Leads!AR7),Leads!L7)</f>
        <v/>
      </c>
      <c r="E7" s="13">
        <f>IF(OR(Leads!O7="",Leads!O7="Not found"),Leads!P7,Leads!O7)</f>
        <v/>
      </c>
      <c r="F7" s="13">
        <f>IF(Leads!H7="","",Leads!H7)</f>
        <v/>
      </c>
      <c r="G7" s="13">
        <f>IF(Leads!AQ7="","",Leads!AQ7)</f>
        <v/>
      </c>
      <c r="H7" s="13">
        <f>IF(Leads!AS7="","",Leads!AS7)</f>
        <v/>
      </c>
      <c r="I7" s="13">
        <f>IF(Leads!S7="","",Leads!S7)</f>
        <v/>
      </c>
      <c r="J7" s="13">
        <f>IF(Leads!T7="","",Leads!T7)</f>
        <v/>
      </c>
      <c r="K7" s="13">
        <f>IF(Leads!AT7="","",Leads!AT7)</f>
        <v/>
      </c>
      <c r="L7" s="13" t="inlineStr">
        <is>
          <t>cold-outreach:lead-machine</t>
        </is>
      </c>
      <c r="M7" s="13">
        <f>IF(Leads!H7="","","cold-outreach,lead-machine,status:drafted,industry:"&amp;LOWER(SUBSTITUTE(SUBSTITUTE(SUBSTITUTE(TRIM(Leads!Q7)," ","-"),"/","-"),"&amp;","and"))&amp;",city:"&amp;LOWER(SUBSTITUTE(TRIM(Leads!S7)," ","-"))&amp;",entry:"&amp;LOWER(SUBSTITUTE(TRIM(Leads!W7)," ","-"))&amp;",attitude:"&amp;LOWER(SUBSTITUTE(SUBSTITUTE(TRIM(Leads!V7)," ","-"),"/","-")))</f>
        <v/>
      </c>
      <c r="N7" s="13">
        <f>IF(Leads!A7="","",Leads!A7)</f>
        <v/>
      </c>
      <c r="O7" s="13">
        <f>IF(Leads!F7="","",Leads!F7)</f>
        <v/>
      </c>
      <c r="P7" s="13">
        <f>IF(Leads!V7="","",Leads!V7)</f>
        <v/>
      </c>
      <c r="Q7" s="13">
        <f>IF(Leads!W7="","",Leads!W7)</f>
        <v/>
      </c>
      <c r="R7" s="13">
        <f>IF(Leads!AO7="","",Leads!AO7)</f>
        <v/>
      </c>
      <c r="S7" s="13">
        <f>IF(Leads!U7="","",Leads!U7)</f>
        <v/>
      </c>
      <c r="T7" s="13">
        <f>IF(Leads!Z7="","",Leads!Z7)</f>
        <v/>
      </c>
      <c r="U7" s="13">
        <f>IF(Leads!AA7="","",Leads!AA7)</f>
        <v/>
      </c>
      <c r="V7" s="13">
        <f>IF(Leads!K7="","",Leads!K7)</f>
        <v/>
      </c>
    </row>
    <row r="8">
      <c r="A8" s="13">
        <f>IF(Leads!D8="","",Leads!D8)</f>
        <v/>
      </c>
      <c r="B8" s="13">
        <f>IF(Leads!I8="","",Leads!I8)</f>
        <v/>
      </c>
      <c r="C8" s="13">
        <f>IF(Leads!J8="","",Leads!J8)</f>
        <v/>
      </c>
      <c r="D8" s="13">
        <f>IF(OR(Leads!L8="",Leads!L8="Not found"),IF(OR(Leads!AR8="",Leads!AR8="Not found"),"",Leads!AR8),Leads!L8)</f>
        <v/>
      </c>
      <c r="E8" s="13">
        <f>IF(OR(Leads!O8="",Leads!O8="Not found"),Leads!P8,Leads!O8)</f>
        <v/>
      </c>
      <c r="F8" s="13">
        <f>IF(Leads!H8="","",Leads!H8)</f>
        <v/>
      </c>
      <c r="G8" s="13">
        <f>IF(Leads!AQ8="","",Leads!AQ8)</f>
        <v/>
      </c>
      <c r="H8" s="13">
        <f>IF(Leads!AS8="","",Leads!AS8)</f>
        <v/>
      </c>
      <c r="I8" s="13">
        <f>IF(Leads!S8="","",Leads!S8)</f>
        <v/>
      </c>
      <c r="J8" s="13">
        <f>IF(Leads!T8="","",Leads!T8)</f>
        <v/>
      </c>
      <c r="K8" s="13">
        <f>IF(Leads!AT8="","",Leads!AT8)</f>
        <v/>
      </c>
      <c r="L8" s="13" t="inlineStr">
        <is>
          <t>cold-outreach:lead-machine</t>
        </is>
      </c>
      <c r="M8" s="13">
        <f>IF(Leads!H8="","","cold-outreach,lead-machine,status:drafted,industry:"&amp;LOWER(SUBSTITUTE(SUBSTITUTE(SUBSTITUTE(TRIM(Leads!Q8)," ","-"),"/","-"),"&amp;","and"))&amp;",city:"&amp;LOWER(SUBSTITUTE(TRIM(Leads!S8)," ","-"))&amp;",entry:"&amp;LOWER(SUBSTITUTE(TRIM(Leads!W8)," ","-"))&amp;",attitude:"&amp;LOWER(SUBSTITUTE(SUBSTITUTE(TRIM(Leads!V8)," ","-"),"/","-")))</f>
        <v/>
      </c>
      <c r="N8" s="13">
        <f>IF(Leads!A8="","",Leads!A8)</f>
        <v/>
      </c>
      <c r="O8" s="13">
        <f>IF(Leads!F8="","",Leads!F8)</f>
        <v/>
      </c>
      <c r="P8" s="13">
        <f>IF(Leads!V8="","",Leads!V8)</f>
        <v/>
      </c>
      <c r="Q8" s="13">
        <f>IF(Leads!W8="","",Leads!W8)</f>
        <v/>
      </c>
      <c r="R8" s="13">
        <f>IF(Leads!AO8="","",Leads!AO8)</f>
        <v/>
      </c>
      <c r="S8" s="13">
        <f>IF(Leads!U8="","",Leads!U8)</f>
        <v/>
      </c>
      <c r="T8" s="13">
        <f>IF(Leads!Z8="","",Leads!Z8)</f>
        <v/>
      </c>
      <c r="U8" s="13">
        <f>IF(Leads!AA8="","",Leads!AA8)</f>
        <v/>
      </c>
      <c r="V8" s="13">
        <f>IF(Leads!K8="","",Leads!K8)</f>
        <v/>
      </c>
    </row>
    <row r="9">
      <c r="A9" s="13">
        <f>IF(Leads!D9="","",Leads!D9)</f>
        <v/>
      </c>
      <c r="B9" s="13">
        <f>IF(Leads!I9="","",Leads!I9)</f>
        <v/>
      </c>
      <c r="C9" s="13">
        <f>IF(Leads!J9="","",Leads!J9)</f>
        <v/>
      </c>
      <c r="D9" s="13">
        <f>IF(OR(Leads!L9="",Leads!L9="Not found"),IF(OR(Leads!AR9="",Leads!AR9="Not found"),"",Leads!AR9),Leads!L9)</f>
        <v/>
      </c>
      <c r="E9" s="13">
        <f>IF(OR(Leads!O9="",Leads!O9="Not found"),Leads!P9,Leads!O9)</f>
        <v/>
      </c>
      <c r="F9" s="13">
        <f>IF(Leads!H9="","",Leads!H9)</f>
        <v/>
      </c>
      <c r="G9" s="13">
        <f>IF(Leads!AQ9="","",Leads!AQ9)</f>
        <v/>
      </c>
      <c r="H9" s="13">
        <f>IF(Leads!AS9="","",Leads!AS9)</f>
        <v/>
      </c>
      <c r="I9" s="13">
        <f>IF(Leads!S9="","",Leads!S9)</f>
        <v/>
      </c>
      <c r="J9" s="13">
        <f>IF(Leads!T9="","",Leads!T9)</f>
        <v/>
      </c>
      <c r="K9" s="13">
        <f>IF(Leads!AT9="","",Leads!AT9)</f>
        <v/>
      </c>
      <c r="L9" s="13" t="inlineStr">
        <is>
          <t>cold-outreach:lead-machine</t>
        </is>
      </c>
      <c r="M9" s="13">
        <f>IF(Leads!H9="","","cold-outreach,lead-machine,status:drafted,industry:"&amp;LOWER(SUBSTITUTE(SUBSTITUTE(SUBSTITUTE(TRIM(Leads!Q9)," ","-"),"/","-"),"&amp;","and"))&amp;",city:"&amp;LOWER(SUBSTITUTE(TRIM(Leads!S9)," ","-"))&amp;",entry:"&amp;LOWER(SUBSTITUTE(TRIM(Leads!W9)," ","-"))&amp;",attitude:"&amp;LOWER(SUBSTITUTE(SUBSTITUTE(TRIM(Leads!V9)," ","-"),"/","-")))</f>
        <v/>
      </c>
      <c r="N9" s="13">
        <f>IF(Leads!A9="","",Leads!A9)</f>
        <v/>
      </c>
      <c r="O9" s="13">
        <f>IF(Leads!F9="","",Leads!F9)</f>
        <v/>
      </c>
      <c r="P9" s="13">
        <f>IF(Leads!V9="","",Leads!V9)</f>
        <v/>
      </c>
      <c r="Q9" s="13">
        <f>IF(Leads!W9="","",Leads!W9)</f>
        <v/>
      </c>
      <c r="R9" s="13">
        <f>IF(Leads!AO9="","",Leads!AO9)</f>
        <v/>
      </c>
      <c r="S9" s="13">
        <f>IF(Leads!U9="","",Leads!U9)</f>
        <v/>
      </c>
      <c r="T9" s="13">
        <f>IF(Leads!Z9="","",Leads!Z9)</f>
        <v/>
      </c>
      <c r="U9" s="13">
        <f>IF(Leads!AA9="","",Leads!AA9)</f>
        <v/>
      </c>
      <c r="V9" s="13">
        <f>IF(Leads!K9="","",Leads!K9)</f>
        <v/>
      </c>
    </row>
    <row r="10">
      <c r="A10" s="13">
        <f>IF(Leads!D10="","",Leads!D10)</f>
        <v/>
      </c>
      <c r="B10" s="13">
        <f>IF(Leads!I10="","",Leads!I10)</f>
        <v/>
      </c>
      <c r="C10" s="13">
        <f>IF(Leads!J10="","",Leads!J10)</f>
        <v/>
      </c>
      <c r="D10" s="13">
        <f>IF(OR(Leads!L10="",Leads!L10="Not found"),IF(OR(Leads!AR10="",Leads!AR10="Not found"),"",Leads!AR10),Leads!L10)</f>
        <v/>
      </c>
      <c r="E10" s="13">
        <f>IF(OR(Leads!O10="",Leads!O10="Not found"),Leads!P10,Leads!O10)</f>
        <v/>
      </c>
      <c r="F10" s="13">
        <f>IF(Leads!H10="","",Leads!H10)</f>
        <v/>
      </c>
      <c r="G10" s="13">
        <f>IF(Leads!AQ10="","",Leads!AQ10)</f>
        <v/>
      </c>
      <c r="H10" s="13">
        <f>IF(Leads!AS10="","",Leads!AS10)</f>
        <v/>
      </c>
      <c r="I10" s="13">
        <f>IF(Leads!S10="","",Leads!S10)</f>
        <v/>
      </c>
      <c r="J10" s="13">
        <f>IF(Leads!T10="","",Leads!T10)</f>
        <v/>
      </c>
      <c r="K10" s="13">
        <f>IF(Leads!AT10="","",Leads!AT10)</f>
        <v/>
      </c>
      <c r="L10" s="13" t="inlineStr">
        <is>
          <t>cold-outreach:lead-machine</t>
        </is>
      </c>
      <c r="M10" s="13">
        <f>IF(Leads!H10="","","cold-outreach,lead-machine,status:drafted,industry:"&amp;LOWER(SUBSTITUTE(SUBSTITUTE(SUBSTITUTE(TRIM(Leads!Q10)," ","-"),"/","-"),"&amp;","and"))&amp;",city:"&amp;LOWER(SUBSTITUTE(TRIM(Leads!S10)," ","-"))&amp;",entry:"&amp;LOWER(SUBSTITUTE(TRIM(Leads!W10)," ","-"))&amp;",attitude:"&amp;LOWER(SUBSTITUTE(SUBSTITUTE(TRIM(Leads!V10)," ","-"),"/","-")))</f>
        <v/>
      </c>
      <c r="N10" s="13">
        <f>IF(Leads!A10="","",Leads!A10)</f>
        <v/>
      </c>
      <c r="O10" s="13">
        <f>IF(Leads!F10="","",Leads!F10)</f>
        <v/>
      </c>
      <c r="P10" s="13">
        <f>IF(Leads!V10="","",Leads!V10)</f>
        <v/>
      </c>
      <c r="Q10" s="13">
        <f>IF(Leads!W10="","",Leads!W10)</f>
        <v/>
      </c>
      <c r="R10" s="13">
        <f>IF(Leads!AO10="","",Leads!AO10)</f>
        <v/>
      </c>
      <c r="S10" s="13">
        <f>IF(Leads!U10="","",Leads!U10)</f>
        <v/>
      </c>
      <c r="T10" s="13">
        <f>IF(Leads!Z10="","",Leads!Z10)</f>
        <v/>
      </c>
      <c r="U10" s="13">
        <f>IF(Leads!AA10="","",Leads!AA10)</f>
        <v/>
      </c>
      <c r="V10" s="13">
        <f>IF(Leads!K10="","",Leads!K10)</f>
        <v/>
      </c>
    </row>
    <row r="11">
      <c r="A11" s="13">
        <f>IF(Leads!D11="","",Leads!D11)</f>
        <v/>
      </c>
      <c r="B11" s="13">
        <f>IF(Leads!I11="","",Leads!I11)</f>
        <v/>
      </c>
      <c r="C11" s="13">
        <f>IF(Leads!J11="","",Leads!J11)</f>
        <v/>
      </c>
      <c r="D11" s="13">
        <f>IF(OR(Leads!L11="",Leads!L11="Not found"),IF(OR(Leads!AR11="",Leads!AR11="Not found"),"",Leads!AR11),Leads!L11)</f>
        <v/>
      </c>
      <c r="E11" s="13">
        <f>IF(OR(Leads!O11="",Leads!O11="Not found"),Leads!P11,Leads!O11)</f>
        <v/>
      </c>
      <c r="F11" s="13">
        <f>IF(Leads!H11="","",Leads!H11)</f>
        <v/>
      </c>
      <c r="G11" s="13">
        <f>IF(Leads!AQ11="","",Leads!AQ11)</f>
        <v/>
      </c>
      <c r="H11" s="13">
        <f>IF(Leads!AS11="","",Leads!AS11)</f>
        <v/>
      </c>
      <c r="I11" s="13">
        <f>IF(Leads!S11="","",Leads!S11)</f>
        <v/>
      </c>
      <c r="J11" s="13">
        <f>IF(Leads!T11="","",Leads!T11)</f>
        <v/>
      </c>
      <c r="K11" s="13">
        <f>IF(Leads!AT11="","",Leads!AT11)</f>
        <v/>
      </c>
      <c r="L11" s="13" t="inlineStr">
        <is>
          <t>cold-outreach:lead-machine</t>
        </is>
      </c>
      <c r="M11" s="13">
        <f>IF(Leads!H11="","","cold-outreach,lead-machine,status:drafted,industry:"&amp;LOWER(SUBSTITUTE(SUBSTITUTE(SUBSTITUTE(TRIM(Leads!Q11)," ","-"),"/","-"),"&amp;","and"))&amp;",city:"&amp;LOWER(SUBSTITUTE(TRIM(Leads!S11)," ","-"))&amp;",entry:"&amp;LOWER(SUBSTITUTE(TRIM(Leads!W11)," ","-"))&amp;",attitude:"&amp;LOWER(SUBSTITUTE(SUBSTITUTE(TRIM(Leads!V11)," ","-"),"/","-")))</f>
        <v/>
      </c>
      <c r="N11" s="13">
        <f>IF(Leads!A11="","",Leads!A11)</f>
        <v/>
      </c>
      <c r="O11" s="13">
        <f>IF(Leads!F11="","",Leads!F11)</f>
        <v/>
      </c>
      <c r="P11" s="13">
        <f>IF(Leads!V11="","",Leads!V11)</f>
        <v/>
      </c>
      <c r="Q11" s="13">
        <f>IF(Leads!W11="","",Leads!W11)</f>
        <v/>
      </c>
      <c r="R11" s="13">
        <f>IF(Leads!AO11="","",Leads!AO11)</f>
        <v/>
      </c>
      <c r="S11" s="13">
        <f>IF(Leads!U11="","",Leads!U11)</f>
        <v/>
      </c>
      <c r="T11" s="13">
        <f>IF(Leads!Z11="","",Leads!Z11)</f>
        <v/>
      </c>
      <c r="U11" s="13">
        <f>IF(Leads!AA11="","",Leads!AA11)</f>
        <v/>
      </c>
      <c r="V11" s="13">
        <f>IF(Leads!K11="","",Leads!K11)</f>
        <v/>
      </c>
    </row>
    <row r="12">
      <c r="A12" s="13">
        <f>IF(Leads!D12="","",Leads!D12)</f>
        <v/>
      </c>
      <c r="B12" s="13">
        <f>IF(Leads!I12="","",Leads!I12)</f>
        <v/>
      </c>
      <c r="C12" s="13">
        <f>IF(Leads!J12="","",Leads!J12)</f>
        <v/>
      </c>
      <c r="D12" s="13">
        <f>IF(OR(Leads!L12="",Leads!L12="Not found"),IF(OR(Leads!AR12="",Leads!AR12="Not found"),"",Leads!AR12),Leads!L12)</f>
        <v/>
      </c>
      <c r="E12" s="13">
        <f>IF(OR(Leads!O12="",Leads!O12="Not found"),Leads!P12,Leads!O12)</f>
        <v/>
      </c>
      <c r="F12" s="13">
        <f>IF(Leads!H12="","",Leads!H12)</f>
        <v/>
      </c>
      <c r="G12" s="13">
        <f>IF(Leads!AQ12="","",Leads!AQ12)</f>
        <v/>
      </c>
      <c r="H12" s="13">
        <f>IF(Leads!AS12="","",Leads!AS12)</f>
        <v/>
      </c>
      <c r="I12" s="13">
        <f>IF(Leads!S12="","",Leads!S12)</f>
        <v/>
      </c>
      <c r="J12" s="13">
        <f>IF(Leads!T12="","",Leads!T12)</f>
        <v/>
      </c>
      <c r="K12" s="13">
        <f>IF(Leads!AT12="","",Leads!AT12)</f>
        <v/>
      </c>
      <c r="L12" s="13" t="inlineStr">
        <is>
          <t>cold-outreach:lead-machine</t>
        </is>
      </c>
      <c r="M12" s="13">
        <f>IF(Leads!H12="","","cold-outreach,lead-machine,status:drafted,industry:"&amp;LOWER(SUBSTITUTE(SUBSTITUTE(SUBSTITUTE(TRIM(Leads!Q12)," ","-"),"/","-"),"&amp;","and"))&amp;",city:"&amp;LOWER(SUBSTITUTE(TRIM(Leads!S12)," ","-"))&amp;",entry:"&amp;LOWER(SUBSTITUTE(TRIM(Leads!W12)," ","-"))&amp;",attitude:"&amp;LOWER(SUBSTITUTE(SUBSTITUTE(TRIM(Leads!V12)," ","-"),"/","-")))</f>
        <v/>
      </c>
      <c r="N12" s="13">
        <f>IF(Leads!A12="","",Leads!A12)</f>
        <v/>
      </c>
      <c r="O12" s="13">
        <f>IF(Leads!F12="","",Leads!F12)</f>
        <v/>
      </c>
      <c r="P12" s="13">
        <f>IF(Leads!V12="","",Leads!V12)</f>
        <v/>
      </c>
      <c r="Q12" s="13">
        <f>IF(Leads!W12="","",Leads!W12)</f>
        <v/>
      </c>
      <c r="R12" s="13">
        <f>IF(Leads!AO12="","",Leads!AO12)</f>
        <v/>
      </c>
      <c r="S12" s="13">
        <f>IF(Leads!U12="","",Leads!U12)</f>
        <v/>
      </c>
      <c r="T12" s="13">
        <f>IF(Leads!Z12="","",Leads!Z12)</f>
        <v/>
      </c>
      <c r="U12" s="13">
        <f>IF(Leads!AA12="","",Leads!AA12)</f>
        <v/>
      </c>
      <c r="V12" s="13">
        <f>IF(Leads!K12="","",Leads!K12)</f>
        <v/>
      </c>
    </row>
    <row r="13">
      <c r="A13" s="13">
        <f>IF(Leads!D13="","",Leads!D13)</f>
        <v/>
      </c>
      <c r="B13" s="13">
        <f>IF(Leads!I13="","",Leads!I13)</f>
        <v/>
      </c>
      <c r="C13" s="13">
        <f>IF(Leads!J13="","",Leads!J13)</f>
        <v/>
      </c>
      <c r="D13" s="13">
        <f>IF(OR(Leads!L13="",Leads!L13="Not found"),IF(OR(Leads!AR13="",Leads!AR13="Not found"),"",Leads!AR13),Leads!L13)</f>
        <v/>
      </c>
      <c r="E13" s="13">
        <f>IF(OR(Leads!O13="",Leads!O13="Not found"),Leads!P13,Leads!O13)</f>
        <v/>
      </c>
      <c r="F13" s="13">
        <f>IF(Leads!H13="","",Leads!H13)</f>
        <v/>
      </c>
      <c r="G13" s="13">
        <f>IF(Leads!AQ13="","",Leads!AQ13)</f>
        <v/>
      </c>
      <c r="H13" s="13">
        <f>IF(Leads!AS13="","",Leads!AS13)</f>
        <v/>
      </c>
      <c r="I13" s="13">
        <f>IF(Leads!S13="","",Leads!S13)</f>
        <v/>
      </c>
      <c r="J13" s="13">
        <f>IF(Leads!T13="","",Leads!T13)</f>
        <v/>
      </c>
      <c r="K13" s="13">
        <f>IF(Leads!AT13="","",Leads!AT13)</f>
        <v/>
      </c>
      <c r="L13" s="13" t="inlineStr">
        <is>
          <t>cold-outreach:lead-machine</t>
        </is>
      </c>
      <c r="M13" s="13">
        <f>IF(Leads!H13="","","cold-outreach,lead-machine,status:drafted,industry:"&amp;LOWER(SUBSTITUTE(SUBSTITUTE(SUBSTITUTE(TRIM(Leads!Q13)," ","-"),"/","-"),"&amp;","and"))&amp;",city:"&amp;LOWER(SUBSTITUTE(TRIM(Leads!S13)," ","-"))&amp;",entry:"&amp;LOWER(SUBSTITUTE(TRIM(Leads!W13)," ","-"))&amp;",attitude:"&amp;LOWER(SUBSTITUTE(SUBSTITUTE(TRIM(Leads!V13)," ","-"),"/","-")))</f>
        <v/>
      </c>
      <c r="N13" s="13">
        <f>IF(Leads!A13="","",Leads!A13)</f>
        <v/>
      </c>
      <c r="O13" s="13">
        <f>IF(Leads!F13="","",Leads!F13)</f>
        <v/>
      </c>
      <c r="P13" s="13">
        <f>IF(Leads!V13="","",Leads!V13)</f>
        <v/>
      </c>
      <c r="Q13" s="13">
        <f>IF(Leads!W13="","",Leads!W13)</f>
        <v/>
      </c>
      <c r="R13" s="13">
        <f>IF(Leads!AO13="","",Leads!AO13)</f>
        <v/>
      </c>
      <c r="S13" s="13">
        <f>IF(Leads!U13="","",Leads!U13)</f>
        <v/>
      </c>
      <c r="T13" s="13">
        <f>IF(Leads!Z13="","",Leads!Z13)</f>
        <v/>
      </c>
      <c r="U13" s="13">
        <f>IF(Leads!AA13="","",Leads!AA13)</f>
        <v/>
      </c>
      <c r="V13" s="13">
        <f>IF(Leads!K13="","",Leads!K13)</f>
        <v/>
      </c>
    </row>
    <row r="14">
      <c r="A14" s="13">
        <f>IF(Leads!D14="","",Leads!D14)</f>
        <v/>
      </c>
      <c r="B14" s="13">
        <f>IF(Leads!I14="","",Leads!I14)</f>
        <v/>
      </c>
      <c r="C14" s="13">
        <f>IF(Leads!J14="","",Leads!J14)</f>
        <v/>
      </c>
      <c r="D14" s="13">
        <f>IF(OR(Leads!L14="",Leads!L14="Not found"),IF(OR(Leads!AR14="",Leads!AR14="Not found"),"",Leads!AR14),Leads!L14)</f>
        <v/>
      </c>
      <c r="E14" s="13">
        <f>IF(OR(Leads!O14="",Leads!O14="Not found"),Leads!P14,Leads!O14)</f>
        <v/>
      </c>
      <c r="F14" s="13">
        <f>IF(Leads!H14="","",Leads!H14)</f>
        <v/>
      </c>
      <c r="G14" s="13">
        <f>IF(Leads!AQ14="","",Leads!AQ14)</f>
        <v/>
      </c>
      <c r="H14" s="13">
        <f>IF(Leads!AS14="","",Leads!AS14)</f>
        <v/>
      </c>
      <c r="I14" s="13">
        <f>IF(Leads!S14="","",Leads!S14)</f>
        <v/>
      </c>
      <c r="J14" s="13">
        <f>IF(Leads!T14="","",Leads!T14)</f>
        <v/>
      </c>
      <c r="K14" s="13">
        <f>IF(Leads!AT14="","",Leads!AT14)</f>
        <v/>
      </c>
      <c r="L14" s="13" t="inlineStr">
        <is>
          <t>cold-outreach:lead-machine</t>
        </is>
      </c>
      <c r="M14" s="13">
        <f>IF(Leads!H14="","","cold-outreach,lead-machine,status:drafted,industry:"&amp;LOWER(SUBSTITUTE(SUBSTITUTE(SUBSTITUTE(TRIM(Leads!Q14)," ","-"),"/","-"),"&amp;","and"))&amp;",city:"&amp;LOWER(SUBSTITUTE(TRIM(Leads!S14)," ","-"))&amp;",entry:"&amp;LOWER(SUBSTITUTE(TRIM(Leads!W14)," ","-"))&amp;",attitude:"&amp;LOWER(SUBSTITUTE(SUBSTITUTE(TRIM(Leads!V14)," ","-"),"/","-")))</f>
        <v/>
      </c>
      <c r="N14" s="13">
        <f>IF(Leads!A14="","",Leads!A14)</f>
        <v/>
      </c>
      <c r="O14" s="13">
        <f>IF(Leads!F14="","",Leads!F14)</f>
        <v/>
      </c>
      <c r="P14" s="13">
        <f>IF(Leads!V14="","",Leads!V14)</f>
        <v/>
      </c>
      <c r="Q14" s="13">
        <f>IF(Leads!W14="","",Leads!W14)</f>
        <v/>
      </c>
      <c r="R14" s="13">
        <f>IF(Leads!AO14="","",Leads!AO14)</f>
        <v/>
      </c>
      <c r="S14" s="13">
        <f>IF(Leads!U14="","",Leads!U14)</f>
        <v/>
      </c>
      <c r="T14" s="13">
        <f>IF(Leads!Z14="","",Leads!Z14)</f>
        <v/>
      </c>
      <c r="U14" s="13">
        <f>IF(Leads!AA14="","",Leads!AA14)</f>
        <v/>
      </c>
      <c r="V14" s="13">
        <f>IF(Leads!K14="","",Leads!K14)</f>
        <v/>
      </c>
    </row>
    <row r="15">
      <c r="A15" s="13">
        <f>IF(Leads!D15="","",Leads!D15)</f>
        <v/>
      </c>
      <c r="B15" s="13">
        <f>IF(Leads!I15="","",Leads!I15)</f>
        <v/>
      </c>
      <c r="C15" s="13">
        <f>IF(Leads!J15="","",Leads!J15)</f>
        <v/>
      </c>
      <c r="D15" s="13">
        <f>IF(OR(Leads!L15="",Leads!L15="Not found"),IF(OR(Leads!AR15="",Leads!AR15="Not found"),"",Leads!AR15),Leads!L15)</f>
        <v/>
      </c>
      <c r="E15" s="13">
        <f>IF(OR(Leads!O15="",Leads!O15="Not found"),Leads!P15,Leads!O15)</f>
        <v/>
      </c>
      <c r="F15" s="13">
        <f>IF(Leads!H15="","",Leads!H15)</f>
        <v/>
      </c>
      <c r="G15" s="13">
        <f>IF(Leads!AQ15="","",Leads!AQ15)</f>
        <v/>
      </c>
      <c r="H15" s="13">
        <f>IF(Leads!AS15="","",Leads!AS15)</f>
        <v/>
      </c>
      <c r="I15" s="13">
        <f>IF(Leads!S15="","",Leads!S15)</f>
        <v/>
      </c>
      <c r="J15" s="13">
        <f>IF(Leads!T15="","",Leads!T15)</f>
        <v/>
      </c>
      <c r="K15" s="13">
        <f>IF(Leads!AT15="","",Leads!AT15)</f>
        <v/>
      </c>
      <c r="L15" s="13" t="inlineStr">
        <is>
          <t>cold-outreach:lead-machine</t>
        </is>
      </c>
      <c r="M15" s="13">
        <f>IF(Leads!H15="","","cold-outreach,lead-machine,status:drafted,industry:"&amp;LOWER(SUBSTITUTE(SUBSTITUTE(SUBSTITUTE(TRIM(Leads!Q15)," ","-"),"/","-"),"&amp;","and"))&amp;",city:"&amp;LOWER(SUBSTITUTE(TRIM(Leads!S15)," ","-"))&amp;",entry:"&amp;LOWER(SUBSTITUTE(TRIM(Leads!W15)," ","-"))&amp;",attitude:"&amp;LOWER(SUBSTITUTE(SUBSTITUTE(TRIM(Leads!V15)," ","-"),"/","-")))</f>
        <v/>
      </c>
      <c r="N15" s="13">
        <f>IF(Leads!A15="","",Leads!A15)</f>
        <v/>
      </c>
      <c r="O15" s="13">
        <f>IF(Leads!F15="","",Leads!F15)</f>
        <v/>
      </c>
      <c r="P15" s="13">
        <f>IF(Leads!V15="","",Leads!V15)</f>
        <v/>
      </c>
      <c r="Q15" s="13">
        <f>IF(Leads!W15="","",Leads!W15)</f>
        <v/>
      </c>
      <c r="R15" s="13">
        <f>IF(Leads!AO15="","",Leads!AO15)</f>
        <v/>
      </c>
      <c r="S15" s="13">
        <f>IF(Leads!U15="","",Leads!U15)</f>
        <v/>
      </c>
      <c r="T15" s="13">
        <f>IF(Leads!Z15="","",Leads!Z15)</f>
        <v/>
      </c>
      <c r="U15" s="13">
        <f>IF(Leads!AA15="","",Leads!AA15)</f>
        <v/>
      </c>
      <c r="V15" s="13">
        <f>IF(Leads!K15="","",Leads!K15)</f>
        <v/>
      </c>
    </row>
    <row r="16">
      <c r="A16" s="13">
        <f>IF(Leads!D16="","",Leads!D16)</f>
        <v/>
      </c>
      <c r="B16" s="13">
        <f>IF(Leads!I16="","",Leads!I16)</f>
        <v/>
      </c>
      <c r="C16" s="13">
        <f>IF(Leads!J16="","",Leads!J16)</f>
        <v/>
      </c>
      <c r="D16" s="13">
        <f>IF(OR(Leads!L16="",Leads!L16="Not found"),IF(OR(Leads!AR16="",Leads!AR16="Not found"),"",Leads!AR16),Leads!L16)</f>
        <v/>
      </c>
      <c r="E16" s="13">
        <f>IF(OR(Leads!O16="",Leads!O16="Not found"),Leads!P16,Leads!O16)</f>
        <v/>
      </c>
      <c r="F16" s="13">
        <f>IF(Leads!H16="","",Leads!H16)</f>
        <v/>
      </c>
      <c r="G16" s="13">
        <f>IF(Leads!AQ16="","",Leads!AQ16)</f>
        <v/>
      </c>
      <c r="H16" s="13">
        <f>IF(Leads!AS16="","",Leads!AS16)</f>
        <v/>
      </c>
      <c r="I16" s="13">
        <f>IF(Leads!S16="","",Leads!S16)</f>
        <v/>
      </c>
      <c r="J16" s="13">
        <f>IF(Leads!T16="","",Leads!T16)</f>
        <v/>
      </c>
      <c r="K16" s="13">
        <f>IF(Leads!AT16="","",Leads!AT16)</f>
        <v/>
      </c>
      <c r="L16" s="13" t="inlineStr">
        <is>
          <t>cold-outreach:lead-machine</t>
        </is>
      </c>
      <c r="M16" s="13">
        <f>IF(Leads!H16="","","cold-outreach,lead-machine,status:drafted,industry:"&amp;LOWER(SUBSTITUTE(SUBSTITUTE(SUBSTITUTE(TRIM(Leads!Q16)," ","-"),"/","-"),"&amp;","and"))&amp;",city:"&amp;LOWER(SUBSTITUTE(TRIM(Leads!S16)," ","-"))&amp;",entry:"&amp;LOWER(SUBSTITUTE(TRIM(Leads!W16)," ","-"))&amp;",attitude:"&amp;LOWER(SUBSTITUTE(SUBSTITUTE(TRIM(Leads!V16)," ","-"),"/","-")))</f>
        <v/>
      </c>
      <c r="N16" s="13">
        <f>IF(Leads!A16="","",Leads!A16)</f>
        <v/>
      </c>
      <c r="O16" s="13">
        <f>IF(Leads!F16="","",Leads!F16)</f>
        <v/>
      </c>
      <c r="P16" s="13">
        <f>IF(Leads!V16="","",Leads!V16)</f>
        <v/>
      </c>
      <c r="Q16" s="13">
        <f>IF(Leads!W16="","",Leads!W16)</f>
        <v/>
      </c>
      <c r="R16" s="13">
        <f>IF(Leads!AO16="","",Leads!AO16)</f>
        <v/>
      </c>
      <c r="S16" s="13">
        <f>IF(Leads!U16="","",Leads!U16)</f>
        <v/>
      </c>
      <c r="T16" s="13">
        <f>IF(Leads!Z16="","",Leads!Z16)</f>
        <v/>
      </c>
      <c r="U16" s="13">
        <f>IF(Leads!AA16="","",Leads!AA16)</f>
        <v/>
      </c>
      <c r="V16" s="13">
        <f>IF(Leads!K16="","",Leads!K16)</f>
        <v/>
      </c>
    </row>
    <row r="17">
      <c r="A17" s="13">
        <f>IF(Leads!D17="","",Leads!D17)</f>
        <v/>
      </c>
      <c r="B17" s="13">
        <f>IF(Leads!I17="","",Leads!I17)</f>
        <v/>
      </c>
      <c r="C17" s="13">
        <f>IF(Leads!J17="","",Leads!J17)</f>
        <v/>
      </c>
      <c r="D17" s="13">
        <f>IF(OR(Leads!L17="",Leads!L17="Not found"),IF(OR(Leads!AR17="",Leads!AR17="Not found"),"",Leads!AR17),Leads!L17)</f>
        <v/>
      </c>
      <c r="E17" s="13">
        <f>IF(OR(Leads!O17="",Leads!O17="Not found"),Leads!P17,Leads!O17)</f>
        <v/>
      </c>
      <c r="F17" s="13">
        <f>IF(Leads!H17="","",Leads!H17)</f>
        <v/>
      </c>
      <c r="G17" s="13">
        <f>IF(Leads!AQ17="","",Leads!AQ17)</f>
        <v/>
      </c>
      <c r="H17" s="13">
        <f>IF(Leads!AS17="","",Leads!AS17)</f>
        <v/>
      </c>
      <c r="I17" s="13">
        <f>IF(Leads!S17="","",Leads!S17)</f>
        <v/>
      </c>
      <c r="J17" s="13">
        <f>IF(Leads!T17="","",Leads!T17)</f>
        <v/>
      </c>
      <c r="K17" s="13">
        <f>IF(Leads!AT17="","",Leads!AT17)</f>
        <v/>
      </c>
      <c r="L17" s="13" t="inlineStr">
        <is>
          <t>cold-outreach:lead-machine</t>
        </is>
      </c>
      <c r="M17" s="13">
        <f>IF(Leads!H17="","","cold-outreach,lead-machine,status:drafted,industry:"&amp;LOWER(SUBSTITUTE(SUBSTITUTE(SUBSTITUTE(TRIM(Leads!Q17)," ","-"),"/","-"),"&amp;","and"))&amp;",city:"&amp;LOWER(SUBSTITUTE(TRIM(Leads!S17)," ","-"))&amp;",entry:"&amp;LOWER(SUBSTITUTE(TRIM(Leads!W17)," ","-"))&amp;",attitude:"&amp;LOWER(SUBSTITUTE(SUBSTITUTE(TRIM(Leads!V17)," ","-"),"/","-")))</f>
        <v/>
      </c>
      <c r="N17" s="13">
        <f>IF(Leads!A17="","",Leads!A17)</f>
        <v/>
      </c>
      <c r="O17" s="13">
        <f>IF(Leads!F17="","",Leads!F17)</f>
        <v/>
      </c>
      <c r="P17" s="13">
        <f>IF(Leads!V17="","",Leads!V17)</f>
        <v/>
      </c>
      <c r="Q17" s="13">
        <f>IF(Leads!W17="","",Leads!W17)</f>
        <v/>
      </c>
      <c r="R17" s="13">
        <f>IF(Leads!AO17="","",Leads!AO17)</f>
        <v/>
      </c>
      <c r="S17" s="13">
        <f>IF(Leads!U17="","",Leads!U17)</f>
        <v/>
      </c>
      <c r="T17" s="13">
        <f>IF(Leads!Z17="","",Leads!Z17)</f>
        <v/>
      </c>
      <c r="U17" s="13">
        <f>IF(Leads!AA17="","",Leads!AA17)</f>
        <v/>
      </c>
      <c r="V17" s="13">
        <f>IF(Leads!K17="","",Leads!K17)</f>
        <v/>
      </c>
    </row>
    <row r="18">
      <c r="A18" s="13">
        <f>IF(Leads!D18="","",Leads!D18)</f>
        <v/>
      </c>
      <c r="B18" s="13">
        <f>IF(Leads!I18="","",Leads!I18)</f>
        <v/>
      </c>
      <c r="C18" s="13">
        <f>IF(Leads!J18="","",Leads!J18)</f>
        <v/>
      </c>
      <c r="D18" s="13">
        <f>IF(OR(Leads!L18="",Leads!L18="Not found"),IF(OR(Leads!AR18="",Leads!AR18="Not found"),"",Leads!AR18),Leads!L18)</f>
        <v/>
      </c>
      <c r="E18" s="13">
        <f>IF(OR(Leads!O18="",Leads!O18="Not found"),Leads!P18,Leads!O18)</f>
        <v/>
      </c>
      <c r="F18" s="13">
        <f>IF(Leads!H18="","",Leads!H18)</f>
        <v/>
      </c>
      <c r="G18" s="13">
        <f>IF(Leads!AQ18="","",Leads!AQ18)</f>
        <v/>
      </c>
      <c r="H18" s="13">
        <f>IF(Leads!AS18="","",Leads!AS18)</f>
        <v/>
      </c>
      <c r="I18" s="13">
        <f>IF(Leads!S18="","",Leads!S18)</f>
        <v/>
      </c>
      <c r="J18" s="13">
        <f>IF(Leads!T18="","",Leads!T18)</f>
        <v/>
      </c>
      <c r="K18" s="13">
        <f>IF(Leads!AT18="","",Leads!AT18)</f>
        <v/>
      </c>
      <c r="L18" s="13" t="inlineStr">
        <is>
          <t>cold-outreach:lead-machine</t>
        </is>
      </c>
      <c r="M18" s="13">
        <f>IF(Leads!H18="","","cold-outreach,lead-machine,status:drafted,industry:"&amp;LOWER(SUBSTITUTE(SUBSTITUTE(SUBSTITUTE(TRIM(Leads!Q18)," ","-"),"/","-"),"&amp;","and"))&amp;",city:"&amp;LOWER(SUBSTITUTE(TRIM(Leads!S18)," ","-"))&amp;",entry:"&amp;LOWER(SUBSTITUTE(TRIM(Leads!W18)," ","-"))&amp;",attitude:"&amp;LOWER(SUBSTITUTE(SUBSTITUTE(TRIM(Leads!V18)," ","-"),"/","-")))</f>
        <v/>
      </c>
      <c r="N18" s="13">
        <f>IF(Leads!A18="","",Leads!A18)</f>
        <v/>
      </c>
      <c r="O18" s="13">
        <f>IF(Leads!F18="","",Leads!F18)</f>
        <v/>
      </c>
      <c r="P18" s="13">
        <f>IF(Leads!V18="","",Leads!V18)</f>
        <v/>
      </c>
      <c r="Q18" s="13">
        <f>IF(Leads!W18="","",Leads!W18)</f>
        <v/>
      </c>
      <c r="R18" s="13">
        <f>IF(Leads!AO18="","",Leads!AO18)</f>
        <v/>
      </c>
      <c r="S18" s="13">
        <f>IF(Leads!U18="","",Leads!U18)</f>
        <v/>
      </c>
      <c r="T18" s="13">
        <f>IF(Leads!Z18="","",Leads!Z18)</f>
        <v/>
      </c>
      <c r="U18" s="13">
        <f>IF(Leads!AA18="","",Leads!AA18)</f>
        <v/>
      </c>
      <c r="V18" s="13">
        <f>IF(Leads!K18="","",Leads!K18)</f>
        <v/>
      </c>
    </row>
    <row r="19">
      <c r="A19" s="13">
        <f>IF(Leads!D19="","",Leads!D19)</f>
        <v/>
      </c>
      <c r="B19" s="13">
        <f>IF(Leads!I19="","",Leads!I19)</f>
        <v/>
      </c>
      <c r="C19" s="13">
        <f>IF(Leads!J19="","",Leads!J19)</f>
        <v/>
      </c>
      <c r="D19" s="13">
        <f>IF(OR(Leads!L19="",Leads!L19="Not found"),IF(OR(Leads!AR19="",Leads!AR19="Not found"),"",Leads!AR19),Leads!L19)</f>
        <v/>
      </c>
      <c r="E19" s="13">
        <f>IF(OR(Leads!O19="",Leads!O19="Not found"),Leads!P19,Leads!O19)</f>
        <v/>
      </c>
      <c r="F19" s="13">
        <f>IF(Leads!H19="","",Leads!H19)</f>
        <v/>
      </c>
      <c r="G19" s="13">
        <f>IF(Leads!AQ19="","",Leads!AQ19)</f>
        <v/>
      </c>
      <c r="H19" s="13">
        <f>IF(Leads!AS19="","",Leads!AS19)</f>
        <v/>
      </c>
      <c r="I19" s="13">
        <f>IF(Leads!S19="","",Leads!S19)</f>
        <v/>
      </c>
      <c r="J19" s="13">
        <f>IF(Leads!T19="","",Leads!T19)</f>
        <v/>
      </c>
      <c r="K19" s="13">
        <f>IF(Leads!AT19="","",Leads!AT19)</f>
        <v/>
      </c>
      <c r="L19" s="13" t="inlineStr">
        <is>
          <t>cold-outreach:lead-machine</t>
        </is>
      </c>
      <c r="M19" s="13">
        <f>IF(Leads!H19="","","cold-outreach,lead-machine,status:drafted,industry:"&amp;LOWER(SUBSTITUTE(SUBSTITUTE(SUBSTITUTE(TRIM(Leads!Q19)," ","-"),"/","-"),"&amp;","and"))&amp;",city:"&amp;LOWER(SUBSTITUTE(TRIM(Leads!S19)," ","-"))&amp;",entry:"&amp;LOWER(SUBSTITUTE(TRIM(Leads!W19)," ","-"))&amp;",attitude:"&amp;LOWER(SUBSTITUTE(SUBSTITUTE(TRIM(Leads!V19)," ","-"),"/","-")))</f>
        <v/>
      </c>
      <c r="N19" s="13">
        <f>IF(Leads!A19="","",Leads!A19)</f>
        <v/>
      </c>
      <c r="O19" s="13">
        <f>IF(Leads!F19="","",Leads!F19)</f>
        <v/>
      </c>
      <c r="P19" s="13">
        <f>IF(Leads!V19="","",Leads!V19)</f>
        <v/>
      </c>
      <c r="Q19" s="13">
        <f>IF(Leads!W19="","",Leads!W19)</f>
        <v/>
      </c>
      <c r="R19" s="13">
        <f>IF(Leads!AO19="","",Leads!AO19)</f>
        <v/>
      </c>
      <c r="S19" s="13">
        <f>IF(Leads!U19="","",Leads!U19)</f>
        <v/>
      </c>
      <c r="T19" s="13">
        <f>IF(Leads!Z19="","",Leads!Z19)</f>
        <v/>
      </c>
      <c r="U19" s="13">
        <f>IF(Leads!AA19="","",Leads!AA19)</f>
        <v/>
      </c>
      <c r="V19" s="13">
        <f>IF(Leads!K19="","",Leads!K19)</f>
        <v/>
      </c>
    </row>
    <row r="20">
      <c r="A20" s="13">
        <f>IF(Leads!D20="","",Leads!D20)</f>
        <v/>
      </c>
      <c r="B20" s="13">
        <f>IF(Leads!I20="","",Leads!I20)</f>
        <v/>
      </c>
      <c r="C20" s="13">
        <f>IF(Leads!J20="","",Leads!J20)</f>
        <v/>
      </c>
      <c r="D20" s="13">
        <f>IF(OR(Leads!L20="",Leads!L20="Not found"),IF(OR(Leads!AR20="",Leads!AR20="Not found"),"",Leads!AR20),Leads!L20)</f>
        <v/>
      </c>
      <c r="E20" s="13">
        <f>IF(OR(Leads!O20="",Leads!O20="Not found"),Leads!P20,Leads!O20)</f>
        <v/>
      </c>
      <c r="F20" s="13">
        <f>IF(Leads!H20="","",Leads!H20)</f>
        <v/>
      </c>
      <c r="G20" s="13">
        <f>IF(Leads!AQ20="","",Leads!AQ20)</f>
        <v/>
      </c>
      <c r="H20" s="13">
        <f>IF(Leads!AS20="","",Leads!AS20)</f>
        <v/>
      </c>
      <c r="I20" s="13">
        <f>IF(Leads!S20="","",Leads!S20)</f>
        <v/>
      </c>
      <c r="J20" s="13">
        <f>IF(Leads!T20="","",Leads!T20)</f>
        <v/>
      </c>
      <c r="K20" s="13">
        <f>IF(Leads!AT20="","",Leads!AT20)</f>
        <v/>
      </c>
      <c r="L20" s="13" t="inlineStr">
        <is>
          <t>cold-outreach:lead-machine</t>
        </is>
      </c>
      <c r="M20" s="13">
        <f>IF(Leads!H20="","","cold-outreach,lead-machine,status:drafted,industry:"&amp;LOWER(SUBSTITUTE(SUBSTITUTE(SUBSTITUTE(TRIM(Leads!Q20)," ","-"),"/","-"),"&amp;","and"))&amp;",city:"&amp;LOWER(SUBSTITUTE(TRIM(Leads!S20)," ","-"))&amp;",entry:"&amp;LOWER(SUBSTITUTE(TRIM(Leads!W20)," ","-"))&amp;",attitude:"&amp;LOWER(SUBSTITUTE(SUBSTITUTE(TRIM(Leads!V20)," ","-"),"/","-")))</f>
        <v/>
      </c>
      <c r="N20" s="13">
        <f>IF(Leads!A20="","",Leads!A20)</f>
        <v/>
      </c>
      <c r="O20" s="13">
        <f>IF(Leads!F20="","",Leads!F20)</f>
        <v/>
      </c>
      <c r="P20" s="13">
        <f>IF(Leads!V20="","",Leads!V20)</f>
        <v/>
      </c>
      <c r="Q20" s="13">
        <f>IF(Leads!W20="","",Leads!W20)</f>
        <v/>
      </c>
      <c r="R20" s="13">
        <f>IF(Leads!AO20="","",Leads!AO20)</f>
        <v/>
      </c>
      <c r="S20" s="13">
        <f>IF(Leads!U20="","",Leads!U20)</f>
        <v/>
      </c>
      <c r="T20" s="13">
        <f>IF(Leads!Z20="","",Leads!Z20)</f>
        <v/>
      </c>
      <c r="U20" s="13">
        <f>IF(Leads!AA20="","",Leads!AA20)</f>
        <v/>
      </c>
      <c r="V20" s="13">
        <f>IF(Leads!K20="","",Leads!K20)</f>
        <v/>
      </c>
    </row>
    <row r="21">
      <c r="A21" s="13">
        <f>IF(Leads!D21="","",Leads!D21)</f>
        <v/>
      </c>
      <c r="B21" s="13">
        <f>IF(Leads!I21="","",Leads!I21)</f>
        <v/>
      </c>
      <c r="C21" s="13">
        <f>IF(Leads!J21="","",Leads!J21)</f>
        <v/>
      </c>
      <c r="D21" s="13">
        <f>IF(OR(Leads!L21="",Leads!L21="Not found"),IF(OR(Leads!AR21="",Leads!AR21="Not found"),"",Leads!AR21),Leads!L21)</f>
        <v/>
      </c>
      <c r="E21" s="13">
        <f>IF(OR(Leads!O21="",Leads!O21="Not found"),Leads!P21,Leads!O21)</f>
        <v/>
      </c>
      <c r="F21" s="13">
        <f>IF(Leads!H21="","",Leads!H21)</f>
        <v/>
      </c>
      <c r="G21" s="13">
        <f>IF(Leads!AQ21="","",Leads!AQ21)</f>
        <v/>
      </c>
      <c r="H21" s="13">
        <f>IF(Leads!AS21="","",Leads!AS21)</f>
        <v/>
      </c>
      <c r="I21" s="13">
        <f>IF(Leads!S21="","",Leads!S21)</f>
        <v/>
      </c>
      <c r="J21" s="13">
        <f>IF(Leads!T21="","",Leads!T21)</f>
        <v/>
      </c>
      <c r="K21" s="13">
        <f>IF(Leads!AT21="","",Leads!AT21)</f>
        <v/>
      </c>
      <c r="L21" s="13" t="inlineStr">
        <is>
          <t>cold-outreach:lead-machine</t>
        </is>
      </c>
      <c r="M21" s="13">
        <f>IF(Leads!H21="","","cold-outreach,lead-machine,status:drafted,industry:"&amp;LOWER(SUBSTITUTE(SUBSTITUTE(SUBSTITUTE(TRIM(Leads!Q21)," ","-"),"/","-"),"&amp;","and"))&amp;",city:"&amp;LOWER(SUBSTITUTE(TRIM(Leads!S21)," ","-"))&amp;",entry:"&amp;LOWER(SUBSTITUTE(TRIM(Leads!W21)," ","-"))&amp;",attitude:"&amp;LOWER(SUBSTITUTE(SUBSTITUTE(TRIM(Leads!V21)," ","-"),"/","-")))</f>
        <v/>
      </c>
      <c r="N21" s="13">
        <f>IF(Leads!A21="","",Leads!A21)</f>
        <v/>
      </c>
      <c r="O21" s="13">
        <f>IF(Leads!F21="","",Leads!F21)</f>
        <v/>
      </c>
      <c r="P21" s="13">
        <f>IF(Leads!V21="","",Leads!V21)</f>
        <v/>
      </c>
      <c r="Q21" s="13">
        <f>IF(Leads!W21="","",Leads!W21)</f>
        <v/>
      </c>
      <c r="R21" s="13">
        <f>IF(Leads!AO21="","",Leads!AO21)</f>
        <v/>
      </c>
      <c r="S21" s="13">
        <f>IF(Leads!U21="","",Leads!U21)</f>
        <v/>
      </c>
      <c r="T21" s="13">
        <f>IF(Leads!Z21="","",Leads!Z21)</f>
        <v/>
      </c>
      <c r="U21" s="13">
        <f>IF(Leads!AA21="","",Leads!AA21)</f>
        <v/>
      </c>
      <c r="V21" s="13">
        <f>IF(Leads!K21="","",Leads!K21)</f>
        <v/>
      </c>
    </row>
    <row r="22">
      <c r="A22" s="13">
        <f>IF(Leads!D22="","",Leads!D22)</f>
        <v/>
      </c>
      <c r="B22" s="13">
        <f>IF(Leads!I22="","",Leads!I22)</f>
        <v/>
      </c>
      <c r="C22" s="13">
        <f>IF(Leads!J22="","",Leads!J22)</f>
        <v/>
      </c>
      <c r="D22" s="13">
        <f>IF(OR(Leads!L22="",Leads!L22="Not found"),IF(OR(Leads!AR22="",Leads!AR22="Not found"),"",Leads!AR22),Leads!L22)</f>
        <v/>
      </c>
      <c r="E22" s="13">
        <f>IF(OR(Leads!O22="",Leads!O22="Not found"),Leads!P22,Leads!O22)</f>
        <v/>
      </c>
      <c r="F22" s="13">
        <f>IF(Leads!H22="","",Leads!H22)</f>
        <v/>
      </c>
      <c r="G22" s="13">
        <f>IF(Leads!AQ22="","",Leads!AQ22)</f>
        <v/>
      </c>
      <c r="H22" s="13">
        <f>IF(Leads!AS22="","",Leads!AS22)</f>
        <v/>
      </c>
      <c r="I22" s="13">
        <f>IF(Leads!S22="","",Leads!S22)</f>
        <v/>
      </c>
      <c r="J22" s="13">
        <f>IF(Leads!T22="","",Leads!T22)</f>
        <v/>
      </c>
      <c r="K22" s="13">
        <f>IF(Leads!AT22="","",Leads!AT22)</f>
        <v/>
      </c>
      <c r="L22" s="13" t="inlineStr">
        <is>
          <t>cold-outreach:lead-machine</t>
        </is>
      </c>
      <c r="M22" s="13">
        <f>IF(Leads!H22="","","cold-outreach,lead-machine,status:drafted,industry:"&amp;LOWER(SUBSTITUTE(SUBSTITUTE(SUBSTITUTE(TRIM(Leads!Q22)," ","-"),"/","-"),"&amp;","and"))&amp;",city:"&amp;LOWER(SUBSTITUTE(TRIM(Leads!S22)," ","-"))&amp;",entry:"&amp;LOWER(SUBSTITUTE(TRIM(Leads!W22)," ","-"))&amp;",attitude:"&amp;LOWER(SUBSTITUTE(SUBSTITUTE(TRIM(Leads!V22)," ","-"),"/","-")))</f>
        <v/>
      </c>
      <c r="N22" s="13">
        <f>IF(Leads!A22="","",Leads!A22)</f>
        <v/>
      </c>
      <c r="O22" s="13">
        <f>IF(Leads!F22="","",Leads!F22)</f>
        <v/>
      </c>
      <c r="P22" s="13">
        <f>IF(Leads!V22="","",Leads!V22)</f>
        <v/>
      </c>
      <c r="Q22" s="13">
        <f>IF(Leads!W22="","",Leads!W22)</f>
        <v/>
      </c>
      <c r="R22" s="13">
        <f>IF(Leads!AO22="","",Leads!AO22)</f>
        <v/>
      </c>
      <c r="S22" s="13">
        <f>IF(Leads!U22="","",Leads!U22)</f>
        <v/>
      </c>
      <c r="T22" s="13">
        <f>IF(Leads!Z22="","",Leads!Z22)</f>
        <v/>
      </c>
      <c r="U22" s="13">
        <f>IF(Leads!AA22="","",Leads!AA22)</f>
        <v/>
      </c>
      <c r="V22" s="13">
        <f>IF(Leads!K22="","",Leads!K22)</f>
        <v/>
      </c>
    </row>
    <row r="23">
      <c r="A23" s="13">
        <f>IF(Leads!D23="","",Leads!D23)</f>
        <v/>
      </c>
      <c r="B23" s="13">
        <f>IF(Leads!I23="","",Leads!I23)</f>
        <v/>
      </c>
      <c r="C23" s="13">
        <f>IF(Leads!J23="","",Leads!J23)</f>
        <v/>
      </c>
      <c r="D23" s="13">
        <f>IF(OR(Leads!L23="",Leads!L23="Not found"),IF(OR(Leads!AR23="",Leads!AR23="Not found"),"",Leads!AR23),Leads!L23)</f>
        <v/>
      </c>
      <c r="E23" s="13">
        <f>IF(OR(Leads!O23="",Leads!O23="Not found"),Leads!P23,Leads!O23)</f>
        <v/>
      </c>
      <c r="F23" s="13">
        <f>IF(Leads!H23="","",Leads!H23)</f>
        <v/>
      </c>
      <c r="G23" s="13">
        <f>IF(Leads!AQ23="","",Leads!AQ23)</f>
        <v/>
      </c>
      <c r="H23" s="13">
        <f>IF(Leads!AS23="","",Leads!AS23)</f>
        <v/>
      </c>
      <c r="I23" s="13">
        <f>IF(Leads!S23="","",Leads!S23)</f>
        <v/>
      </c>
      <c r="J23" s="13">
        <f>IF(Leads!T23="","",Leads!T23)</f>
        <v/>
      </c>
      <c r="K23" s="13">
        <f>IF(Leads!AT23="","",Leads!AT23)</f>
        <v/>
      </c>
      <c r="L23" s="13" t="inlineStr">
        <is>
          <t>cold-outreach:lead-machine</t>
        </is>
      </c>
      <c r="M23" s="13">
        <f>IF(Leads!H23="","","cold-outreach,lead-machine,status:drafted,industry:"&amp;LOWER(SUBSTITUTE(SUBSTITUTE(SUBSTITUTE(TRIM(Leads!Q23)," ","-"),"/","-"),"&amp;","and"))&amp;",city:"&amp;LOWER(SUBSTITUTE(TRIM(Leads!S23)," ","-"))&amp;",entry:"&amp;LOWER(SUBSTITUTE(TRIM(Leads!W23)," ","-"))&amp;",attitude:"&amp;LOWER(SUBSTITUTE(SUBSTITUTE(TRIM(Leads!V23)," ","-"),"/","-")))</f>
        <v/>
      </c>
      <c r="N23" s="13">
        <f>IF(Leads!A23="","",Leads!A23)</f>
        <v/>
      </c>
      <c r="O23" s="13">
        <f>IF(Leads!F23="","",Leads!F23)</f>
        <v/>
      </c>
      <c r="P23" s="13">
        <f>IF(Leads!V23="","",Leads!V23)</f>
        <v/>
      </c>
      <c r="Q23" s="13">
        <f>IF(Leads!W23="","",Leads!W23)</f>
        <v/>
      </c>
      <c r="R23" s="13">
        <f>IF(Leads!AO23="","",Leads!AO23)</f>
        <v/>
      </c>
      <c r="S23" s="13">
        <f>IF(Leads!U23="","",Leads!U23)</f>
        <v/>
      </c>
      <c r="T23" s="13">
        <f>IF(Leads!Z23="","",Leads!Z23)</f>
        <v/>
      </c>
      <c r="U23" s="13">
        <f>IF(Leads!AA23="","",Leads!AA23)</f>
        <v/>
      </c>
      <c r="V23" s="13">
        <f>IF(Leads!K23="","",Leads!K23)</f>
        <v/>
      </c>
    </row>
    <row r="24">
      <c r="A24" s="13">
        <f>IF(Leads!D24="","",Leads!D24)</f>
        <v/>
      </c>
      <c r="B24" s="13">
        <f>IF(Leads!I24="","",Leads!I24)</f>
        <v/>
      </c>
      <c r="C24" s="13">
        <f>IF(Leads!J24="","",Leads!J24)</f>
        <v/>
      </c>
      <c r="D24" s="13">
        <f>IF(OR(Leads!L24="",Leads!L24="Not found"),IF(OR(Leads!AR24="",Leads!AR24="Not found"),"",Leads!AR24),Leads!L24)</f>
        <v/>
      </c>
      <c r="E24" s="13">
        <f>IF(OR(Leads!O24="",Leads!O24="Not found"),Leads!P24,Leads!O24)</f>
        <v/>
      </c>
      <c r="F24" s="13">
        <f>IF(Leads!H24="","",Leads!H24)</f>
        <v/>
      </c>
      <c r="G24" s="13">
        <f>IF(Leads!AQ24="","",Leads!AQ24)</f>
        <v/>
      </c>
      <c r="H24" s="13">
        <f>IF(Leads!AS24="","",Leads!AS24)</f>
        <v/>
      </c>
      <c r="I24" s="13">
        <f>IF(Leads!S24="","",Leads!S24)</f>
        <v/>
      </c>
      <c r="J24" s="13">
        <f>IF(Leads!T24="","",Leads!T24)</f>
        <v/>
      </c>
      <c r="K24" s="13">
        <f>IF(Leads!AT24="","",Leads!AT24)</f>
        <v/>
      </c>
      <c r="L24" s="13" t="inlineStr">
        <is>
          <t>cold-outreach:lead-machine</t>
        </is>
      </c>
      <c r="M24" s="13">
        <f>IF(Leads!H24="","","cold-outreach,lead-machine,status:drafted,industry:"&amp;LOWER(SUBSTITUTE(SUBSTITUTE(SUBSTITUTE(TRIM(Leads!Q24)," ","-"),"/","-"),"&amp;","and"))&amp;",city:"&amp;LOWER(SUBSTITUTE(TRIM(Leads!S24)," ","-"))&amp;",entry:"&amp;LOWER(SUBSTITUTE(TRIM(Leads!W24)," ","-"))&amp;",attitude:"&amp;LOWER(SUBSTITUTE(SUBSTITUTE(TRIM(Leads!V24)," ","-"),"/","-")))</f>
        <v/>
      </c>
      <c r="N24" s="13">
        <f>IF(Leads!A24="","",Leads!A24)</f>
        <v/>
      </c>
      <c r="O24" s="13">
        <f>IF(Leads!F24="","",Leads!F24)</f>
        <v/>
      </c>
      <c r="P24" s="13">
        <f>IF(Leads!V24="","",Leads!V24)</f>
        <v/>
      </c>
      <c r="Q24" s="13">
        <f>IF(Leads!W24="","",Leads!W24)</f>
        <v/>
      </c>
      <c r="R24" s="13">
        <f>IF(Leads!AO24="","",Leads!AO24)</f>
        <v/>
      </c>
      <c r="S24" s="13">
        <f>IF(Leads!U24="","",Leads!U24)</f>
        <v/>
      </c>
      <c r="T24" s="13">
        <f>IF(Leads!Z24="","",Leads!Z24)</f>
        <v/>
      </c>
      <c r="U24" s="13">
        <f>IF(Leads!AA24="","",Leads!AA24)</f>
        <v/>
      </c>
      <c r="V24" s="13">
        <f>IF(Leads!K24="","",Leads!K24)</f>
        <v/>
      </c>
    </row>
    <row r="25">
      <c r="A25" s="13">
        <f>IF(Leads!D25="","",Leads!D25)</f>
        <v/>
      </c>
      <c r="B25" s="13">
        <f>IF(Leads!I25="","",Leads!I25)</f>
        <v/>
      </c>
      <c r="C25" s="13">
        <f>IF(Leads!J25="","",Leads!J25)</f>
        <v/>
      </c>
      <c r="D25" s="13">
        <f>IF(OR(Leads!L25="",Leads!L25="Not found"),IF(OR(Leads!AR25="",Leads!AR25="Not found"),"",Leads!AR25),Leads!L25)</f>
        <v/>
      </c>
      <c r="E25" s="13">
        <f>IF(OR(Leads!O25="",Leads!O25="Not found"),Leads!P25,Leads!O25)</f>
        <v/>
      </c>
      <c r="F25" s="13">
        <f>IF(Leads!H25="","",Leads!H25)</f>
        <v/>
      </c>
      <c r="G25" s="13">
        <f>IF(Leads!AQ25="","",Leads!AQ25)</f>
        <v/>
      </c>
      <c r="H25" s="13">
        <f>IF(Leads!AS25="","",Leads!AS25)</f>
        <v/>
      </c>
      <c r="I25" s="13">
        <f>IF(Leads!S25="","",Leads!S25)</f>
        <v/>
      </c>
      <c r="J25" s="13">
        <f>IF(Leads!T25="","",Leads!T25)</f>
        <v/>
      </c>
      <c r="K25" s="13">
        <f>IF(Leads!AT25="","",Leads!AT25)</f>
        <v/>
      </c>
      <c r="L25" s="13" t="inlineStr">
        <is>
          <t>cold-outreach:lead-machine</t>
        </is>
      </c>
      <c r="M25" s="13">
        <f>IF(Leads!H25="","","cold-outreach,lead-machine,status:drafted,industry:"&amp;LOWER(SUBSTITUTE(SUBSTITUTE(SUBSTITUTE(TRIM(Leads!Q25)," ","-"),"/","-"),"&amp;","and"))&amp;",city:"&amp;LOWER(SUBSTITUTE(TRIM(Leads!S25)," ","-"))&amp;",entry:"&amp;LOWER(SUBSTITUTE(TRIM(Leads!W25)," ","-"))&amp;",attitude:"&amp;LOWER(SUBSTITUTE(SUBSTITUTE(TRIM(Leads!V25)," ","-"),"/","-")))</f>
        <v/>
      </c>
      <c r="N25" s="13">
        <f>IF(Leads!A25="","",Leads!A25)</f>
        <v/>
      </c>
      <c r="O25" s="13">
        <f>IF(Leads!F25="","",Leads!F25)</f>
        <v/>
      </c>
      <c r="P25" s="13">
        <f>IF(Leads!V25="","",Leads!V25)</f>
        <v/>
      </c>
      <c r="Q25" s="13">
        <f>IF(Leads!W25="","",Leads!W25)</f>
        <v/>
      </c>
      <c r="R25" s="13">
        <f>IF(Leads!AO25="","",Leads!AO25)</f>
        <v/>
      </c>
      <c r="S25" s="13">
        <f>IF(Leads!U25="","",Leads!U25)</f>
        <v/>
      </c>
      <c r="T25" s="13">
        <f>IF(Leads!Z25="","",Leads!Z25)</f>
        <v/>
      </c>
      <c r="U25" s="13">
        <f>IF(Leads!AA25="","",Leads!AA25)</f>
        <v/>
      </c>
      <c r="V25" s="13">
        <f>IF(Leads!K25="","",Leads!K25)</f>
        <v/>
      </c>
    </row>
    <row r="26">
      <c r="A26" s="13">
        <f>IF(Leads!D26="","",Leads!D26)</f>
        <v/>
      </c>
      <c r="B26" s="13">
        <f>IF(Leads!I26="","",Leads!I26)</f>
        <v/>
      </c>
      <c r="C26" s="13">
        <f>IF(Leads!J26="","",Leads!J26)</f>
        <v/>
      </c>
      <c r="D26" s="13">
        <f>IF(OR(Leads!L26="",Leads!L26="Not found"),IF(OR(Leads!AR26="",Leads!AR26="Not found"),"",Leads!AR26),Leads!L26)</f>
        <v/>
      </c>
      <c r="E26" s="13">
        <f>IF(OR(Leads!O26="",Leads!O26="Not found"),Leads!P26,Leads!O26)</f>
        <v/>
      </c>
      <c r="F26" s="13">
        <f>IF(Leads!H26="","",Leads!H26)</f>
        <v/>
      </c>
      <c r="G26" s="13">
        <f>IF(Leads!AQ26="","",Leads!AQ26)</f>
        <v/>
      </c>
      <c r="H26" s="13">
        <f>IF(Leads!AS26="","",Leads!AS26)</f>
        <v/>
      </c>
      <c r="I26" s="13">
        <f>IF(Leads!S26="","",Leads!S26)</f>
        <v/>
      </c>
      <c r="J26" s="13">
        <f>IF(Leads!T26="","",Leads!T26)</f>
        <v/>
      </c>
      <c r="K26" s="13">
        <f>IF(Leads!AT26="","",Leads!AT26)</f>
        <v/>
      </c>
      <c r="L26" s="13" t="inlineStr">
        <is>
          <t>cold-outreach:lead-machine</t>
        </is>
      </c>
      <c r="M26" s="13">
        <f>IF(Leads!H26="","","cold-outreach,lead-machine,status:drafted,industry:"&amp;LOWER(SUBSTITUTE(SUBSTITUTE(SUBSTITUTE(TRIM(Leads!Q26)," ","-"),"/","-"),"&amp;","and"))&amp;",city:"&amp;LOWER(SUBSTITUTE(TRIM(Leads!S26)," ","-"))&amp;",entry:"&amp;LOWER(SUBSTITUTE(TRIM(Leads!W26)," ","-"))&amp;",attitude:"&amp;LOWER(SUBSTITUTE(SUBSTITUTE(TRIM(Leads!V26)," ","-"),"/","-")))</f>
        <v/>
      </c>
      <c r="N26" s="13">
        <f>IF(Leads!A26="","",Leads!A26)</f>
        <v/>
      </c>
      <c r="O26" s="13">
        <f>IF(Leads!F26="","",Leads!F26)</f>
        <v/>
      </c>
      <c r="P26" s="13">
        <f>IF(Leads!V26="","",Leads!V26)</f>
        <v/>
      </c>
      <c r="Q26" s="13">
        <f>IF(Leads!W26="","",Leads!W26)</f>
        <v/>
      </c>
      <c r="R26" s="13">
        <f>IF(Leads!AO26="","",Leads!AO26)</f>
        <v/>
      </c>
      <c r="S26" s="13">
        <f>IF(Leads!U26="","",Leads!U26)</f>
        <v/>
      </c>
      <c r="T26" s="13">
        <f>IF(Leads!Z26="","",Leads!Z26)</f>
        <v/>
      </c>
      <c r="U26" s="13">
        <f>IF(Leads!AA26="","",Leads!AA26)</f>
        <v/>
      </c>
      <c r="V26" s="13">
        <f>IF(Leads!K26="","",Leads!K26)</f>
        <v/>
      </c>
    </row>
    <row r="27">
      <c r="A27" s="13">
        <f>IF(Leads!D27="","",Leads!D27)</f>
        <v/>
      </c>
      <c r="B27" s="13">
        <f>IF(Leads!I27="","",Leads!I27)</f>
        <v/>
      </c>
      <c r="C27" s="13">
        <f>IF(Leads!J27="","",Leads!J27)</f>
        <v/>
      </c>
      <c r="D27" s="13">
        <f>IF(OR(Leads!L27="",Leads!L27="Not found"),IF(OR(Leads!AR27="",Leads!AR27="Not found"),"",Leads!AR27),Leads!L27)</f>
        <v/>
      </c>
      <c r="E27" s="13">
        <f>IF(OR(Leads!O27="",Leads!O27="Not found"),Leads!P27,Leads!O27)</f>
        <v/>
      </c>
      <c r="F27" s="13">
        <f>IF(Leads!H27="","",Leads!H27)</f>
        <v/>
      </c>
      <c r="G27" s="13">
        <f>IF(Leads!AQ27="","",Leads!AQ27)</f>
        <v/>
      </c>
      <c r="H27" s="13">
        <f>IF(Leads!AS27="","",Leads!AS27)</f>
        <v/>
      </c>
      <c r="I27" s="13">
        <f>IF(Leads!S27="","",Leads!S27)</f>
        <v/>
      </c>
      <c r="J27" s="13">
        <f>IF(Leads!T27="","",Leads!T27)</f>
        <v/>
      </c>
      <c r="K27" s="13">
        <f>IF(Leads!AT27="","",Leads!AT27)</f>
        <v/>
      </c>
      <c r="L27" s="13" t="inlineStr">
        <is>
          <t>cold-outreach:lead-machine</t>
        </is>
      </c>
      <c r="M27" s="13">
        <f>IF(Leads!H27="","","cold-outreach,lead-machine,status:drafted,industry:"&amp;LOWER(SUBSTITUTE(SUBSTITUTE(SUBSTITUTE(TRIM(Leads!Q27)," ","-"),"/","-"),"&amp;","and"))&amp;",city:"&amp;LOWER(SUBSTITUTE(TRIM(Leads!S27)," ","-"))&amp;",entry:"&amp;LOWER(SUBSTITUTE(TRIM(Leads!W27)," ","-"))&amp;",attitude:"&amp;LOWER(SUBSTITUTE(SUBSTITUTE(TRIM(Leads!V27)," ","-"),"/","-")))</f>
        <v/>
      </c>
      <c r="N27" s="13">
        <f>IF(Leads!A27="","",Leads!A27)</f>
        <v/>
      </c>
      <c r="O27" s="13">
        <f>IF(Leads!F27="","",Leads!F27)</f>
        <v/>
      </c>
      <c r="P27" s="13">
        <f>IF(Leads!V27="","",Leads!V27)</f>
        <v/>
      </c>
      <c r="Q27" s="13">
        <f>IF(Leads!W27="","",Leads!W27)</f>
        <v/>
      </c>
      <c r="R27" s="13">
        <f>IF(Leads!AO27="","",Leads!AO27)</f>
        <v/>
      </c>
      <c r="S27" s="13">
        <f>IF(Leads!U27="","",Leads!U27)</f>
        <v/>
      </c>
      <c r="T27" s="13">
        <f>IF(Leads!Z27="","",Leads!Z27)</f>
        <v/>
      </c>
      <c r="U27" s="13">
        <f>IF(Leads!AA27="","",Leads!AA27)</f>
        <v/>
      </c>
      <c r="V27" s="13">
        <f>IF(Leads!K27="","",Leads!K27)</f>
        <v/>
      </c>
    </row>
    <row r="28">
      <c r="A28" s="13">
        <f>IF(Leads!D28="","",Leads!D28)</f>
        <v/>
      </c>
      <c r="B28" s="13">
        <f>IF(Leads!I28="","",Leads!I28)</f>
        <v/>
      </c>
      <c r="C28" s="13">
        <f>IF(Leads!J28="","",Leads!J28)</f>
        <v/>
      </c>
      <c r="D28" s="13">
        <f>IF(OR(Leads!L28="",Leads!L28="Not found"),IF(OR(Leads!AR28="",Leads!AR28="Not found"),"",Leads!AR28),Leads!L28)</f>
        <v/>
      </c>
      <c r="E28" s="13">
        <f>IF(OR(Leads!O28="",Leads!O28="Not found"),Leads!P28,Leads!O28)</f>
        <v/>
      </c>
      <c r="F28" s="13">
        <f>IF(Leads!H28="","",Leads!H28)</f>
        <v/>
      </c>
      <c r="G28" s="13">
        <f>IF(Leads!AQ28="","",Leads!AQ28)</f>
        <v/>
      </c>
      <c r="H28" s="13">
        <f>IF(Leads!AS28="","",Leads!AS28)</f>
        <v/>
      </c>
      <c r="I28" s="13">
        <f>IF(Leads!S28="","",Leads!S28)</f>
        <v/>
      </c>
      <c r="J28" s="13">
        <f>IF(Leads!T28="","",Leads!T28)</f>
        <v/>
      </c>
      <c r="K28" s="13">
        <f>IF(Leads!AT28="","",Leads!AT28)</f>
        <v/>
      </c>
      <c r="L28" s="13" t="inlineStr">
        <is>
          <t>cold-outreach:lead-machine</t>
        </is>
      </c>
      <c r="M28" s="13">
        <f>IF(Leads!H28="","","cold-outreach,lead-machine,status:drafted,industry:"&amp;LOWER(SUBSTITUTE(SUBSTITUTE(SUBSTITUTE(TRIM(Leads!Q28)," ","-"),"/","-"),"&amp;","and"))&amp;",city:"&amp;LOWER(SUBSTITUTE(TRIM(Leads!S28)," ","-"))&amp;",entry:"&amp;LOWER(SUBSTITUTE(TRIM(Leads!W28)," ","-"))&amp;",attitude:"&amp;LOWER(SUBSTITUTE(SUBSTITUTE(TRIM(Leads!V28)," ","-"),"/","-")))</f>
        <v/>
      </c>
      <c r="N28" s="13">
        <f>IF(Leads!A28="","",Leads!A28)</f>
        <v/>
      </c>
      <c r="O28" s="13">
        <f>IF(Leads!F28="","",Leads!F28)</f>
        <v/>
      </c>
      <c r="P28" s="13">
        <f>IF(Leads!V28="","",Leads!V28)</f>
        <v/>
      </c>
      <c r="Q28" s="13">
        <f>IF(Leads!W28="","",Leads!W28)</f>
        <v/>
      </c>
      <c r="R28" s="13">
        <f>IF(Leads!AO28="","",Leads!AO28)</f>
        <v/>
      </c>
      <c r="S28" s="13">
        <f>IF(Leads!U28="","",Leads!U28)</f>
        <v/>
      </c>
      <c r="T28" s="13">
        <f>IF(Leads!Z28="","",Leads!Z28)</f>
        <v/>
      </c>
      <c r="U28" s="13">
        <f>IF(Leads!AA28="","",Leads!AA28)</f>
        <v/>
      </c>
      <c r="V28" s="13">
        <f>IF(Leads!K28="","",Leads!K28)</f>
        <v/>
      </c>
    </row>
    <row r="29">
      <c r="A29" s="13">
        <f>IF(Leads!D29="","",Leads!D29)</f>
        <v/>
      </c>
      <c r="B29" s="13">
        <f>IF(Leads!I29="","",Leads!I29)</f>
        <v/>
      </c>
      <c r="C29" s="13">
        <f>IF(Leads!J29="","",Leads!J29)</f>
        <v/>
      </c>
      <c r="D29" s="13">
        <f>IF(OR(Leads!L29="",Leads!L29="Not found"),IF(OR(Leads!AR29="",Leads!AR29="Not found"),"",Leads!AR29),Leads!L29)</f>
        <v/>
      </c>
      <c r="E29" s="13">
        <f>IF(OR(Leads!O29="",Leads!O29="Not found"),Leads!P29,Leads!O29)</f>
        <v/>
      </c>
      <c r="F29" s="13">
        <f>IF(Leads!H29="","",Leads!H29)</f>
        <v/>
      </c>
      <c r="G29" s="13">
        <f>IF(Leads!AQ29="","",Leads!AQ29)</f>
        <v/>
      </c>
      <c r="H29" s="13">
        <f>IF(Leads!AS29="","",Leads!AS29)</f>
        <v/>
      </c>
      <c r="I29" s="13">
        <f>IF(Leads!S29="","",Leads!S29)</f>
        <v/>
      </c>
      <c r="J29" s="13">
        <f>IF(Leads!T29="","",Leads!T29)</f>
        <v/>
      </c>
      <c r="K29" s="13">
        <f>IF(Leads!AT29="","",Leads!AT29)</f>
        <v/>
      </c>
      <c r="L29" s="13" t="inlineStr">
        <is>
          <t>cold-outreach:lead-machine</t>
        </is>
      </c>
      <c r="M29" s="13">
        <f>IF(Leads!H29="","","cold-outreach,lead-machine,status:drafted,industry:"&amp;LOWER(SUBSTITUTE(SUBSTITUTE(SUBSTITUTE(TRIM(Leads!Q29)," ","-"),"/","-"),"&amp;","and"))&amp;",city:"&amp;LOWER(SUBSTITUTE(TRIM(Leads!S29)," ","-"))&amp;",entry:"&amp;LOWER(SUBSTITUTE(TRIM(Leads!W29)," ","-"))&amp;",attitude:"&amp;LOWER(SUBSTITUTE(SUBSTITUTE(TRIM(Leads!V29)," ","-"),"/","-")))</f>
        <v/>
      </c>
      <c r="N29" s="13">
        <f>IF(Leads!A29="","",Leads!A29)</f>
        <v/>
      </c>
      <c r="O29" s="13">
        <f>IF(Leads!F29="","",Leads!F29)</f>
        <v/>
      </c>
      <c r="P29" s="13">
        <f>IF(Leads!V29="","",Leads!V29)</f>
        <v/>
      </c>
      <c r="Q29" s="13">
        <f>IF(Leads!W29="","",Leads!W29)</f>
        <v/>
      </c>
      <c r="R29" s="13">
        <f>IF(Leads!AO29="","",Leads!AO29)</f>
        <v/>
      </c>
      <c r="S29" s="13">
        <f>IF(Leads!U29="","",Leads!U29)</f>
        <v/>
      </c>
      <c r="T29" s="13">
        <f>IF(Leads!Z29="","",Leads!Z29)</f>
        <v/>
      </c>
      <c r="U29" s="13">
        <f>IF(Leads!AA29="","",Leads!AA29)</f>
        <v/>
      </c>
      <c r="V29" s="13">
        <f>IF(Leads!K29="","",Leads!K29)</f>
        <v/>
      </c>
    </row>
    <row r="30">
      <c r="A30" s="13">
        <f>IF(Leads!D30="","",Leads!D30)</f>
        <v/>
      </c>
      <c r="B30" s="13">
        <f>IF(Leads!I30="","",Leads!I30)</f>
        <v/>
      </c>
      <c r="C30" s="13">
        <f>IF(Leads!J30="","",Leads!J30)</f>
        <v/>
      </c>
      <c r="D30" s="13">
        <f>IF(OR(Leads!L30="",Leads!L30="Not found"),IF(OR(Leads!AR30="",Leads!AR30="Not found"),"",Leads!AR30),Leads!L30)</f>
        <v/>
      </c>
      <c r="E30" s="13">
        <f>IF(OR(Leads!O30="",Leads!O30="Not found"),Leads!P30,Leads!O30)</f>
        <v/>
      </c>
      <c r="F30" s="13">
        <f>IF(Leads!H30="","",Leads!H30)</f>
        <v/>
      </c>
      <c r="G30" s="13">
        <f>IF(Leads!AQ30="","",Leads!AQ30)</f>
        <v/>
      </c>
      <c r="H30" s="13">
        <f>IF(Leads!AS30="","",Leads!AS30)</f>
        <v/>
      </c>
      <c r="I30" s="13">
        <f>IF(Leads!S30="","",Leads!S30)</f>
        <v/>
      </c>
      <c r="J30" s="13">
        <f>IF(Leads!T30="","",Leads!T30)</f>
        <v/>
      </c>
      <c r="K30" s="13">
        <f>IF(Leads!AT30="","",Leads!AT30)</f>
        <v/>
      </c>
      <c r="L30" s="13" t="inlineStr">
        <is>
          <t>cold-outreach:lead-machine</t>
        </is>
      </c>
      <c r="M30" s="13">
        <f>IF(Leads!H30="","","cold-outreach,lead-machine,status:drafted,industry:"&amp;LOWER(SUBSTITUTE(SUBSTITUTE(SUBSTITUTE(TRIM(Leads!Q30)," ","-"),"/","-"),"&amp;","and"))&amp;",city:"&amp;LOWER(SUBSTITUTE(TRIM(Leads!S30)," ","-"))&amp;",entry:"&amp;LOWER(SUBSTITUTE(TRIM(Leads!W30)," ","-"))&amp;",attitude:"&amp;LOWER(SUBSTITUTE(SUBSTITUTE(TRIM(Leads!V30)," ","-"),"/","-")))</f>
        <v/>
      </c>
      <c r="N30" s="13">
        <f>IF(Leads!A30="","",Leads!A30)</f>
        <v/>
      </c>
      <c r="O30" s="13">
        <f>IF(Leads!F30="","",Leads!F30)</f>
        <v/>
      </c>
      <c r="P30" s="13">
        <f>IF(Leads!V30="","",Leads!V30)</f>
        <v/>
      </c>
      <c r="Q30" s="13">
        <f>IF(Leads!W30="","",Leads!W30)</f>
        <v/>
      </c>
      <c r="R30" s="13">
        <f>IF(Leads!AO30="","",Leads!AO30)</f>
        <v/>
      </c>
      <c r="S30" s="13">
        <f>IF(Leads!U30="","",Leads!U30)</f>
        <v/>
      </c>
      <c r="T30" s="13">
        <f>IF(Leads!Z30="","",Leads!Z30)</f>
        <v/>
      </c>
      <c r="U30" s="13">
        <f>IF(Leads!AA30="","",Leads!AA30)</f>
        <v/>
      </c>
      <c r="V30" s="13">
        <f>IF(Leads!K30="","",Leads!K30)</f>
        <v/>
      </c>
    </row>
    <row r="31">
      <c r="A31" s="13">
        <f>IF(Leads!D31="","",Leads!D31)</f>
        <v/>
      </c>
      <c r="B31" s="13">
        <f>IF(Leads!I31="","",Leads!I31)</f>
        <v/>
      </c>
      <c r="C31" s="13">
        <f>IF(Leads!J31="","",Leads!J31)</f>
        <v/>
      </c>
      <c r="D31" s="13">
        <f>IF(OR(Leads!L31="",Leads!L31="Not found"),IF(OR(Leads!AR31="",Leads!AR31="Not found"),"",Leads!AR31),Leads!L31)</f>
        <v/>
      </c>
      <c r="E31" s="13">
        <f>IF(OR(Leads!O31="",Leads!O31="Not found"),Leads!P31,Leads!O31)</f>
        <v/>
      </c>
      <c r="F31" s="13">
        <f>IF(Leads!H31="","",Leads!H31)</f>
        <v/>
      </c>
      <c r="G31" s="13">
        <f>IF(Leads!AQ31="","",Leads!AQ31)</f>
        <v/>
      </c>
      <c r="H31" s="13">
        <f>IF(Leads!AS31="","",Leads!AS31)</f>
        <v/>
      </c>
      <c r="I31" s="13">
        <f>IF(Leads!S31="","",Leads!S31)</f>
        <v/>
      </c>
      <c r="J31" s="13">
        <f>IF(Leads!T31="","",Leads!T31)</f>
        <v/>
      </c>
      <c r="K31" s="13">
        <f>IF(Leads!AT31="","",Leads!AT31)</f>
        <v/>
      </c>
      <c r="L31" s="13" t="inlineStr">
        <is>
          <t>cold-outreach:lead-machine</t>
        </is>
      </c>
      <c r="M31" s="13">
        <f>IF(Leads!H31="","","cold-outreach,lead-machine,status:drafted,industry:"&amp;LOWER(SUBSTITUTE(SUBSTITUTE(SUBSTITUTE(TRIM(Leads!Q31)," ","-"),"/","-"),"&amp;","and"))&amp;",city:"&amp;LOWER(SUBSTITUTE(TRIM(Leads!S31)," ","-"))&amp;",entry:"&amp;LOWER(SUBSTITUTE(TRIM(Leads!W31)," ","-"))&amp;",attitude:"&amp;LOWER(SUBSTITUTE(SUBSTITUTE(TRIM(Leads!V31)," ","-"),"/","-")))</f>
        <v/>
      </c>
      <c r="N31" s="13">
        <f>IF(Leads!A31="","",Leads!A31)</f>
        <v/>
      </c>
      <c r="O31" s="13">
        <f>IF(Leads!F31="","",Leads!F31)</f>
        <v/>
      </c>
      <c r="P31" s="13">
        <f>IF(Leads!V31="","",Leads!V31)</f>
        <v/>
      </c>
      <c r="Q31" s="13">
        <f>IF(Leads!W31="","",Leads!W31)</f>
        <v/>
      </c>
      <c r="R31" s="13">
        <f>IF(Leads!AO31="","",Leads!AO31)</f>
        <v/>
      </c>
      <c r="S31" s="13">
        <f>IF(Leads!U31="","",Leads!U31)</f>
        <v/>
      </c>
      <c r="T31" s="13">
        <f>IF(Leads!Z31="","",Leads!Z31)</f>
        <v/>
      </c>
      <c r="U31" s="13">
        <f>IF(Leads!AA31="","",Leads!AA31)</f>
        <v/>
      </c>
      <c r="V31" s="13">
        <f>IF(Leads!K31="","",Leads!K31)</f>
        <v/>
      </c>
    </row>
    <row r="32">
      <c r="A32" s="13">
        <f>IF(Leads!D32="","",Leads!D32)</f>
        <v/>
      </c>
      <c r="B32" s="13">
        <f>IF(Leads!I32="","",Leads!I32)</f>
        <v/>
      </c>
      <c r="C32" s="13">
        <f>IF(Leads!J32="","",Leads!J32)</f>
        <v/>
      </c>
      <c r="D32" s="13">
        <f>IF(OR(Leads!L32="",Leads!L32="Not found"),IF(OR(Leads!AR32="",Leads!AR32="Not found"),"",Leads!AR32),Leads!L32)</f>
        <v/>
      </c>
      <c r="E32" s="13">
        <f>IF(OR(Leads!O32="",Leads!O32="Not found"),Leads!P32,Leads!O32)</f>
        <v/>
      </c>
      <c r="F32" s="13">
        <f>IF(Leads!H32="","",Leads!H32)</f>
        <v/>
      </c>
      <c r="G32" s="13">
        <f>IF(Leads!AQ32="","",Leads!AQ32)</f>
        <v/>
      </c>
      <c r="H32" s="13">
        <f>IF(Leads!AS32="","",Leads!AS32)</f>
        <v/>
      </c>
      <c r="I32" s="13">
        <f>IF(Leads!S32="","",Leads!S32)</f>
        <v/>
      </c>
      <c r="J32" s="13">
        <f>IF(Leads!T32="","",Leads!T32)</f>
        <v/>
      </c>
      <c r="K32" s="13">
        <f>IF(Leads!AT32="","",Leads!AT32)</f>
        <v/>
      </c>
      <c r="L32" s="13" t="inlineStr">
        <is>
          <t>cold-outreach:lead-machine</t>
        </is>
      </c>
      <c r="M32" s="13">
        <f>IF(Leads!H32="","","cold-outreach,lead-machine,status:drafted,industry:"&amp;LOWER(SUBSTITUTE(SUBSTITUTE(SUBSTITUTE(TRIM(Leads!Q32)," ","-"),"/","-"),"&amp;","and"))&amp;",city:"&amp;LOWER(SUBSTITUTE(TRIM(Leads!S32)," ","-"))&amp;",entry:"&amp;LOWER(SUBSTITUTE(TRIM(Leads!W32)," ","-"))&amp;",attitude:"&amp;LOWER(SUBSTITUTE(SUBSTITUTE(TRIM(Leads!V32)," ","-"),"/","-")))</f>
        <v/>
      </c>
      <c r="N32" s="13">
        <f>IF(Leads!A32="","",Leads!A32)</f>
        <v/>
      </c>
      <c r="O32" s="13">
        <f>IF(Leads!F32="","",Leads!F32)</f>
        <v/>
      </c>
      <c r="P32" s="13">
        <f>IF(Leads!V32="","",Leads!V32)</f>
        <v/>
      </c>
      <c r="Q32" s="13">
        <f>IF(Leads!W32="","",Leads!W32)</f>
        <v/>
      </c>
      <c r="R32" s="13">
        <f>IF(Leads!AO32="","",Leads!AO32)</f>
        <v/>
      </c>
      <c r="S32" s="13">
        <f>IF(Leads!U32="","",Leads!U32)</f>
        <v/>
      </c>
      <c r="T32" s="13">
        <f>IF(Leads!Z32="","",Leads!Z32)</f>
        <v/>
      </c>
      <c r="U32" s="13">
        <f>IF(Leads!AA32="","",Leads!AA32)</f>
        <v/>
      </c>
      <c r="V32" s="13">
        <f>IF(Leads!K32="","",Leads!K32)</f>
        <v/>
      </c>
    </row>
    <row r="33">
      <c r="A33" s="13">
        <f>IF(Leads!D33="","",Leads!D33)</f>
        <v/>
      </c>
      <c r="B33" s="13">
        <f>IF(Leads!I33="","",Leads!I33)</f>
        <v/>
      </c>
      <c r="C33" s="13">
        <f>IF(Leads!J33="","",Leads!J33)</f>
        <v/>
      </c>
      <c r="D33" s="13">
        <f>IF(OR(Leads!L33="",Leads!L33="Not found"),IF(OR(Leads!AR33="",Leads!AR33="Not found"),"",Leads!AR33),Leads!L33)</f>
        <v/>
      </c>
      <c r="E33" s="13">
        <f>IF(OR(Leads!O33="",Leads!O33="Not found"),Leads!P33,Leads!O33)</f>
        <v/>
      </c>
      <c r="F33" s="13">
        <f>IF(Leads!H33="","",Leads!H33)</f>
        <v/>
      </c>
      <c r="G33" s="13">
        <f>IF(Leads!AQ33="","",Leads!AQ33)</f>
        <v/>
      </c>
      <c r="H33" s="13">
        <f>IF(Leads!AS33="","",Leads!AS33)</f>
        <v/>
      </c>
      <c r="I33" s="13">
        <f>IF(Leads!S33="","",Leads!S33)</f>
        <v/>
      </c>
      <c r="J33" s="13">
        <f>IF(Leads!T33="","",Leads!T33)</f>
        <v/>
      </c>
      <c r="K33" s="13">
        <f>IF(Leads!AT33="","",Leads!AT33)</f>
        <v/>
      </c>
      <c r="L33" s="13" t="inlineStr">
        <is>
          <t>cold-outreach:lead-machine</t>
        </is>
      </c>
      <c r="M33" s="13">
        <f>IF(Leads!H33="","","cold-outreach,lead-machine,status:drafted,industry:"&amp;LOWER(SUBSTITUTE(SUBSTITUTE(SUBSTITUTE(TRIM(Leads!Q33)," ","-"),"/","-"),"&amp;","and"))&amp;",city:"&amp;LOWER(SUBSTITUTE(TRIM(Leads!S33)," ","-"))&amp;",entry:"&amp;LOWER(SUBSTITUTE(TRIM(Leads!W33)," ","-"))&amp;",attitude:"&amp;LOWER(SUBSTITUTE(SUBSTITUTE(TRIM(Leads!V33)," ","-"),"/","-")))</f>
        <v/>
      </c>
      <c r="N33" s="13">
        <f>IF(Leads!A33="","",Leads!A33)</f>
        <v/>
      </c>
      <c r="O33" s="13">
        <f>IF(Leads!F33="","",Leads!F33)</f>
        <v/>
      </c>
      <c r="P33" s="13">
        <f>IF(Leads!V33="","",Leads!V33)</f>
        <v/>
      </c>
      <c r="Q33" s="13">
        <f>IF(Leads!W33="","",Leads!W33)</f>
        <v/>
      </c>
      <c r="R33" s="13">
        <f>IF(Leads!AO33="","",Leads!AO33)</f>
        <v/>
      </c>
      <c r="S33" s="13">
        <f>IF(Leads!U33="","",Leads!U33)</f>
        <v/>
      </c>
      <c r="T33" s="13">
        <f>IF(Leads!Z33="","",Leads!Z33)</f>
        <v/>
      </c>
      <c r="U33" s="13">
        <f>IF(Leads!AA33="","",Leads!AA33)</f>
        <v/>
      </c>
      <c r="V33" s="13">
        <f>IF(Leads!K33="","",Leads!K33)</f>
        <v/>
      </c>
    </row>
    <row r="34">
      <c r="A34" s="13">
        <f>IF(Leads!D34="","",Leads!D34)</f>
        <v/>
      </c>
      <c r="B34" s="13">
        <f>IF(Leads!I34="","",Leads!I34)</f>
        <v/>
      </c>
      <c r="C34" s="13">
        <f>IF(Leads!J34="","",Leads!J34)</f>
        <v/>
      </c>
      <c r="D34" s="13">
        <f>IF(OR(Leads!L34="",Leads!L34="Not found"),IF(OR(Leads!AR34="",Leads!AR34="Not found"),"",Leads!AR34),Leads!L34)</f>
        <v/>
      </c>
      <c r="E34" s="13">
        <f>IF(OR(Leads!O34="",Leads!O34="Not found"),Leads!P34,Leads!O34)</f>
        <v/>
      </c>
      <c r="F34" s="13">
        <f>IF(Leads!H34="","",Leads!H34)</f>
        <v/>
      </c>
      <c r="G34" s="13">
        <f>IF(Leads!AQ34="","",Leads!AQ34)</f>
        <v/>
      </c>
      <c r="H34" s="13">
        <f>IF(Leads!AS34="","",Leads!AS34)</f>
        <v/>
      </c>
      <c r="I34" s="13">
        <f>IF(Leads!S34="","",Leads!S34)</f>
        <v/>
      </c>
      <c r="J34" s="13">
        <f>IF(Leads!T34="","",Leads!T34)</f>
        <v/>
      </c>
      <c r="K34" s="13">
        <f>IF(Leads!AT34="","",Leads!AT34)</f>
        <v/>
      </c>
      <c r="L34" s="13" t="inlineStr">
        <is>
          <t>cold-outreach:lead-machine</t>
        </is>
      </c>
      <c r="M34" s="13">
        <f>IF(Leads!H34="","","cold-outreach,lead-machine,status:drafted,industry:"&amp;LOWER(SUBSTITUTE(SUBSTITUTE(SUBSTITUTE(TRIM(Leads!Q34)," ","-"),"/","-"),"&amp;","and"))&amp;",city:"&amp;LOWER(SUBSTITUTE(TRIM(Leads!S34)," ","-"))&amp;",entry:"&amp;LOWER(SUBSTITUTE(TRIM(Leads!W34)," ","-"))&amp;",attitude:"&amp;LOWER(SUBSTITUTE(SUBSTITUTE(TRIM(Leads!V34)," ","-"),"/","-")))</f>
        <v/>
      </c>
      <c r="N34" s="13">
        <f>IF(Leads!A34="","",Leads!A34)</f>
        <v/>
      </c>
      <c r="O34" s="13">
        <f>IF(Leads!F34="","",Leads!F34)</f>
        <v/>
      </c>
      <c r="P34" s="13">
        <f>IF(Leads!V34="","",Leads!V34)</f>
        <v/>
      </c>
      <c r="Q34" s="13">
        <f>IF(Leads!W34="","",Leads!W34)</f>
        <v/>
      </c>
      <c r="R34" s="13">
        <f>IF(Leads!AO34="","",Leads!AO34)</f>
        <v/>
      </c>
      <c r="S34" s="13">
        <f>IF(Leads!U34="","",Leads!U34)</f>
        <v/>
      </c>
      <c r="T34" s="13">
        <f>IF(Leads!Z34="","",Leads!Z34)</f>
        <v/>
      </c>
      <c r="U34" s="13">
        <f>IF(Leads!AA34="","",Leads!AA34)</f>
        <v/>
      </c>
      <c r="V34" s="13">
        <f>IF(Leads!K34="","",Leads!K34)</f>
        <v/>
      </c>
    </row>
    <row r="35">
      <c r="A35" s="13">
        <f>IF(Leads!D35="","",Leads!D35)</f>
        <v/>
      </c>
      <c r="B35" s="13">
        <f>IF(Leads!I35="","",Leads!I35)</f>
        <v/>
      </c>
      <c r="C35" s="13">
        <f>IF(Leads!J35="","",Leads!J35)</f>
        <v/>
      </c>
      <c r="D35" s="13">
        <f>IF(OR(Leads!L35="",Leads!L35="Not found"),IF(OR(Leads!AR35="",Leads!AR35="Not found"),"",Leads!AR35),Leads!L35)</f>
        <v/>
      </c>
      <c r="E35" s="13">
        <f>IF(OR(Leads!O35="",Leads!O35="Not found"),Leads!P35,Leads!O35)</f>
        <v/>
      </c>
      <c r="F35" s="13">
        <f>IF(Leads!H35="","",Leads!H35)</f>
        <v/>
      </c>
      <c r="G35" s="13">
        <f>IF(Leads!AQ35="","",Leads!AQ35)</f>
        <v/>
      </c>
      <c r="H35" s="13">
        <f>IF(Leads!AS35="","",Leads!AS35)</f>
        <v/>
      </c>
      <c r="I35" s="13">
        <f>IF(Leads!S35="","",Leads!S35)</f>
        <v/>
      </c>
      <c r="J35" s="13">
        <f>IF(Leads!T35="","",Leads!T35)</f>
        <v/>
      </c>
      <c r="K35" s="13">
        <f>IF(Leads!AT35="","",Leads!AT35)</f>
        <v/>
      </c>
      <c r="L35" s="13" t="inlineStr">
        <is>
          <t>cold-outreach:lead-machine</t>
        </is>
      </c>
      <c r="M35" s="13">
        <f>IF(Leads!H35="","","cold-outreach,lead-machine,status:drafted,industry:"&amp;LOWER(SUBSTITUTE(SUBSTITUTE(SUBSTITUTE(TRIM(Leads!Q35)," ","-"),"/","-"),"&amp;","and"))&amp;",city:"&amp;LOWER(SUBSTITUTE(TRIM(Leads!S35)," ","-"))&amp;",entry:"&amp;LOWER(SUBSTITUTE(TRIM(Leads!W35)," ","-"))&amp;",attitude:"&amp;LOWER(SUBSTITUTE(SUBSTITUTE(TRIM(Leads!V35)," ","-"),"/","-")))</f>
        <v/>
      </c>
      <c r="N35" s="13">
        <f>IF(Leads!A35="","",Leads!A35)</f>
        <v/>
      </c>
      <c r="O35" s="13">
        <f>IF(Leads!F35="","",Leads!F35)</f>
        <v/>
      </c>
      <c r="P35" s="13">
        <f>IF(Leads!V35="","",Leads!V35)</f>
        <v/>
      </c>
      <c r="Q35" s="13">
        <f>IF(Leads!W35="","",Leads!W35)</f>
        <v/>
      </c>
      <c r="R35" s="13">
        <f>IF(Leads!AO35="","",Leads!AO35)</f>
        <v/>
      </c>
      <c r="S35" s="13">
        <f>IF(Leads!U35="","",Leads!U35)</f>
        <v/>
      </c>
      <c r="T35" s="13">
        <f>IF(Leads!Z35="","",Leads!Z35)</f>
        <v/>
      </c>
      <c r="U35" s="13">
        <f>IF(Leads!AA35="","",Leads!AA35)</f>
        <v/>
      </c>
      <c r="V35" s="13">
        <f>IF(Leads!K35="","",Leads!K35)</f>
        <v/>
      </c>
    </row>
    <row r="36">
      <c r="A36" s="13">
        <f>IF(Leads!D36="","",Leads!D36)</f>
        <v/>
      </c>
      <c r="B36" s="13">
        <f>IF(Leads!I36="","",Leads!I36)</f>
        <v/>
      </c>
      <c r="C36" s="13">
        <f>IF(Leads!J36="","",Leads!J36)</f>
        <v/>
      </c>
      <c r="D36" s="13">
        <f>IF(OR(Leads!L36="",Leads!L36="Not found"),IF(OR(Leads!AR36="",Leads!AR36="Not found"),"",Leads!AR36),Leads!L36)</f>
        <v/>
      </c>
      <c r="E36" s="13">
        <f>IF(OR(Leads!O36="",Leads!O36="Not found"),Leads!P36,Leads!O36)</f>
        <v/>
      </c>
      <c r="F36" s="13">
        <f>IF(Leads!H36="","",Leads!H36)</f>
        <v/>
      </c>
      <c r="G36" s="13">
        <f>IF(Leads!AQ36="","",Leads!AQ36)</f>
        <v/>
      </c>
      <c r="H36" s="13">
        <f>IF(Leads!AS36="","",Leads!AS36)</f>
        <v/>
      </c>
      <c r="I36" s="13">
        <f>IF(Leads!S36="","",Leads!S36)</f>
        <v/>
      </c>
      <c r="J36" s="13">
        <f>IF(Leads!T36="","",Leads!T36)</f>
        <v/>
      </c>
      <c r="K36" s="13">
        <f>IF(Leads!AT36="","",Leads!AT36)</f>
        <v/>
      </c>
      <c r="L36" s="13" t="inlineStr">
        <is>
          <t>cold-outreach:lead-machine</t>
        </is>
      </c>
      <c r="M36" s="13">
        <f>IF(Leads!H36="","","cold-outreach,lead-machine,status:drafted,industry:"&amp;LOWER(SUBSTITUTE(SUBSTITUTE(SUBSTITUTE(TRIM(Leads!Q36)," ","-"),"/","-"),"&amp;","and"))&amp;",city:"&amp;LOWER(SUBSTITUTE(TRIM(Leads!S36)," ","-"))&amp;",entry:"&amp;LOWER(SUBSTITUTE(TRIM(Leads!W36)," ","-"))&amp;",attitude:"&amp;LOWER(SUBSTITUTE(SUBSTITUTE(TRIM(Leads!V36)," ","-"),"/","-")))</f>
        <v/>
      </c>
      <c r="N36" s="13">
        <f>IF(Leads!A36="","",Leads!A36)</f>
        <v/>
      </c>
      <c r="O36" s="13">
        <f>IF(Leads!F36="","",Leads!F36)</f>
        <v/>
      </c>
      <c r="P36" s="13">
        <f>IF(Leads!V36="","",Leads!V36)</f>
        <v/>
      </c>
      <c r="Q36" s="13">
        <f>IF(Leads!W36="","",Leads!W36)</f>
        <v/>
      </c>
      <c r="R36" s="13">
        <f>IF(Leads!AO36="","",Leads!AO36)</f>
        <v/>
      </c>
      <c r="S36" s="13">
        <f>IF(Leads!U36="","",Leads!U36)</f>
        <v/>
      </c>
      <c r="T36" s="13">
        <f>IF(Leads!Z36="","",Leads!Z36)</f>
        <v/>
      </c>
      <c r="U36" s="13">
        <f>IF(Leads!AA36="","",Leads!AA36)</f>
        <v/>
      </c>
      <c r="V36" s="13">
        <f>IF(Leads!K36="","",Leads!K36)</f>
        <v/>
      </c>
    </row>
    <row r="37">
      <c r="A37" s="13">
        <f>IF(Leads!D37="","",Leads!D37)</f>
        <v/>
      </c>
      <c r="B37" s="13">
        <f>IF(Leads!I37="","",Leads!I37)</f>
        <v/>
      </c>
      <c r="C37" s="13">
        <f>IF(Leads!J37="","",Leads!J37)</f>
        <v/>
      </c>
      <c r="D37" s="13">
        <f>IF(OR(Leads!L37="",Leads!L37="Not found"),IF(OR(Leads!AR37="",Leads!AR37="Not found"),"",Leads!AR37),Leads!L37)</f>
        <v/>
      </c>
      <c r="E37" s="13">
        <f>IF(OR(Leads!O37="",Leads!O37="Not found"),Leads!P37,Leads!O37)</f>
        <v/>
      </c>
      <c r="F37" s="13">
        <f>IF(Leads!H37="","",Leads!H37)</f>
        <v/>
      </c>
      <c r="G37" s="13">
        <f>IF(Leads!AQ37="","",Leads!AQ37)</f>
        <v/>
      </c>
      <c r="H37" s="13">
        <f>IF(Leads!AS37="","",Leads!AS37)</f>
        <v/>
      </c>
      <c r="I37" s="13">
        <f>IF(Leads!S37="","",Leads!S37)</f>
        <v/>
      </c>
      <c r="J37" s="13">
        <f>IF(Leads!T37="","",Leads!T37)</f>
        <v/>
      </c>
      <c r="K37" s="13">
        <f>IF(Leads!AT37="","",Leads!AT37)</f>
        <v/>
      </c>
      <c r="L37" s="13" t="inlineStr">
        <is>
          <t>cold-outreach:lead-machine</t>
        </is>
      </c>
      <c r="M37" s="13">
        <f>IF(Leads!H37="","","cold-outreach,lead-machine,status:drafted,industry:"&amp;LOWER(SUBSTITUTE(SUBSTITUTE(SUBSTITUTE(TRIM(Leads!Q37)," ","-"),"/","-"),"&amp;","and"))&amp;",city:"&amp;LOWER(SUBSTITUTE(TRIM(Leads!S37)," ","-"))&amp;",entry:"&amp;LOWER(SUBSTITUTE(TRIM(Leads!W37)," ","-"))&amp;",attitude:"&amp;LOWER(SUBSTITUTE(SUBSTITUTE(TRIM(Leads!V37)," ","-"),"/","-")))</f>
        <v/>
      </c>
      <c r="N37" s="13">
        <f>IF(Leads!A37="","",Leads!A37)</f>
        <v/>
      </c>
      <c r="O37" s="13">
        <f>IF(Leads!F37="","",Leads!F37)</f>
        <v/>
      </c>
      <c r="P37" s="13">
        <f>IF(Leads!V37="","",Leads!V37)</f>
        <v/>
      </c>
      <c r="Q37" s="13">
        <f>IF(Leads!W37="","",Leads!W37)</f>
        <v/>
      </c>
      <c r="R37" s="13">
        <f>IF(Leads!AO37="","",Leads!AO37)</f>
        <v/>
      </c>
      <c r="S37" s="13">
        <f>IF(Leads!U37="","",Leads!U37)</f>
        <v/>
      </c>
      <c r="T37" s="13">
        <f>IF(Leads!Z37="","",Leads!Z37)</f>
        <v/>
      </c>
      <c r="U37" s="13">
        <f>IF(Leads!AA37="","",Leads!AA37)</f>
        <v/>
      </c>
      <c r="V37" s="13">
        <f>IF(Leads!K37="","",Leads!K37)</f>
        <v/>
      </c>
    </row>
    <row r="38">
      <c r="A38" s="13">
        <f>IF(Leads!D38="","",Leads!D38)</f>
        <v/>
      </c>
      <c r="B38" s="13">
        <f>IF(Leads!I38="","",Leads!I38)</f>
        <v/>
      </c>
      <c r="C38" s="13">
        <f>IF(Leads!J38="","",Leads!J38)</f>
        <v/>
      </c>
      <c r="D38" s="13">
        <f>IF(OR(Leads!L38="",Leads!L38="Not found"),IF(OR(Leads!AR38="",Leads!AR38="Not found"),"",Leads!AR38),Leads!L38)</f>
        <v/>
      </c>
      <c r="E38" s="13">
        <f>IF(OR(Leads!O38="",Leads!O38="Not found"),Leads!P38,Leads!O38)</f>
        <v/>
      </c>
      <c r="F38" s="13">
        <f>IF(Leads!H38="","",Leads!H38)</f>
        <v/>
      </c>
      <c r="G38" s="13">
        <f>IF(Leads!AQ38="","",Leads!AQ38)</f>
        <v/>
      </c>
      <c r="H38" s="13">
        <f>IF(Leads!AS38="","",Leads!AS38)</f>
        <v/>
      </c>
      <c r="I38" s="13">
        <f>IF(Leads!S38="","",Leads!S38)</f>
        <v/>
      </c>
      <c r="J38" s="13">
        <f>IF(Leads!T38="","",Leads!T38)</f>
        <v/>
      </c>
      <c r="K38" s="13">
        <f>IF(Leads!AT38="","",Leads!AT38)</f>
        <v/>
      </c>
      <c r="L38" s="13" t="inlineStr">
        <is>
          <t>cold-outreach:lead-machine</t>
        </is>
      </c>
      <c r="M38" s="13">
        <f>IF(Leads!H38="","","cold-outreach,lead-machine,status:drafted,industry:"&amp;LOWER(SUBSTITUTE(SUBSTITUTE(SUBSTITUTE(TRIM(Leads!Q38)," ","-"),"/","-"),"&amp;","and"))&amp;",city:"&amp;LOWER(SUBSTITUTE(TRIM(Leads!S38)," ","-"))&amp;",entry:"&amp;LOWER(SUBSTITUTE(TRIM(Leads!W38)," ","-"))&amp;",attitude:"&amp;LOWER(SUBSTITUTE(SUBSTITUTE(TRIM(Leads!V38)," ","-"),"/","-")))</f>
        <v/>
      </c>
      <c r="N38" s="13">
        <f>IF(Leads!A38="","",Leads!A38)</f>
        <v/>
      </c>
      <c r="O38" s="13">
        <f>IF(Leads!F38="","",Leads!F38)</f>
        <v/>
      </c>
      <c r="P38" s="13">
        <f>IF(Leads!V38="","",Leads!V38)</f>
        <v/>
      </c>
      <c r="Q38" s="13">
        <f>IF(Leads!W38="","",Leads!W38)</f>
        <v/>
      </c>
      <c r="R38" s="13">
        <f>IF(Leads!AO38="","",Leads!AO38)</f>
        <v/>
      </c>
      <c r="S38" s="13">
        <f>IF(Leads!U38="","",Leads!U38)</f>
        <v/>
      </c>
      <c r="T38" s="13">
        <f>IF(Leads!Z38="","",Leads!Z38)</f>
        <v/>
      </c>
      <c r="U38" s="13">
        <f>IF(Leads!AA38="","",Leads!AA38)</f>
        <v/>
      </c>
      <c r="V38" s="13">
        <f>IF(Leads!K38="","",Leads!K38)</f>
        <v/>
      </c>
    </row>
    <row r="39">
      <c r="A39" s="13">
        <f>IF(Leads!D39="","",Leads!D39)</f>
        <v/>
      </c>
      <c r="B39" s="13">
        <f>IF(Leads!I39="","",Leads!I39)</f>
        <v/>
      </c>
      <c r="C39" s="13">
        <f>IF(Leads!J39="","",Leads!J39)</f>
        <v/>
      </c>
      <c r="D39" s="13">
        <f>IF(OR(Leads!L39="",Leads!L39="Not found"),IF(OR(Leads!AR39="",Leads!AR39="Not found"),"",Leads!AR39),Leads!L39)</f>
        <v/>
      </c>
      <c r="E39" s="13">
        <f>IF(OR(Leads!O39="",Leads!O39="Not found"),Leads!P39,Leads!O39)</f>
        <v/>
      </c>
      <c r="F39" s="13">
        <f>IF(Leads!H39="","",Leads!H39)</f>
        <v/>
      </c>
      <c r="G39" s="13">
        <f>IF(Leads!AQ39="","",Leads!AQ39)</f>
        <v/>
      </c>
      <c r="H39" s="13">
        <f>IF(Leads!AS39="","",Leads!AS39)</f>
        <v/>
      </c>
      <c r="I39" s="13">
        <f>IF(Leads!S39="","",Leads!S39)</f>
        <v/>
      </c>
      <c r="J39" s="13">
        <f>IF(Leads!T39="","",Leads!T39)</f>
        <v/>
      </c>
      <c r="K39" s="13">
        <f>IF(Leads!AT39="","",Leads!AT39)</f>
        <v/>
      </c>
      <c r="L39" s="13" t="inlineStr">
        <is>
          <t>cold-outreach:lead-machine</t>
        </is>
      </c>
      <c r="M39" s="13">
        <f>IF(Leads!H39="","","cold-outreach,lead-machine,status:drafted,industry:"&amp;LOWER(SUBSTITUTE(SUBSTITUTE(SUBSTITUTE(TRIM(Leads!Q39)," ","-"),"/","-"),"&amp;","and"))&amp;",city:"&amp;LOWER(SUBSTITUTE(TRIM(Leads!S39)," ","-"))&amp;",entry:"&amp;LOWER(SUBSTITUTE(TRIM(Leads!W39)," ","-"))&amp;",attitude:"&amp;LOWER(SUBSTITUTE(SUBSTITUTE(TRIM(Leads!V39)," ","-"),"/","-")))</f>
        <v/>
      </c>
      <c r="N39" s="13">
        <f>IF(Leads!A39="","",Leads!A39)</f>
        <v/>
      </c>
      <c r="O39" s="13">
        <f>IF(Leads!F39="","",Leads!F39)</f>
        <v/>
      </c>
      <c r="P39" s="13">
        <f>IF(Leads!V39="","",Leads!V39)</f>
        <v/>
      </c>
      <c r="Q39" s="13">
        <f>IF(Leads!W39="","",Leads!W39)</f>
        <v/>
      </c>
      <c r="R39" s="13">
        <f>IF(Leads!AO39="","",Leads!AO39)</f>
        <v/>
      </c>
      <c r="S39" s="13">
        <f>IF(Leads!U39="","",Leads!U39)</f>
        <v/>
      </c>
      <c r="T39" s="13">
        <f>IF(Leads!Z39="","",Leads!Z39)</f>
        <v/>
      </c>
      <c r="U39" s="13">
        <f>IF(Leads!AA39="","",Leads!AA39)</f>
        <v/>
      </c>
      <c r="V39" s="13">
        <f>IF(Leads!K39="","",Leads!K39)</f>
        <v/>
      </c>
    </row>
    <row r="40">
      <c r="A40" s="13">
        <f>IF(Leads!D40="","",Leads!D40)</f>
        <v/>
      </c>
      <c r="B40" s="13">
        <f>IF(Leads!I40="","",Leads!I40)</f>
        <v/>
      </c>
      <c r="C40" s="13">
        <f>IF(Leads!J40="","",Leads!J40)</f>
        <v/>
      </c>
      <c r="D40" s="13">
        <f>IF(OR(Leads!L40="",Leads!L40="Not found"),IF(OR(Leads!AR40="",Leads!AR40="Not found"),"",Leads!AR40),Leads!L40)</f>
        <v/>
      </c>
      <c r="E40" s="13">
        <f>IF(OR(Leads!O40="",Leads!O40="Not found"),Leads!P40,Leads!O40)</f>
        <v/>
      </c>
      <c r="F40" s="13">
        <f>IF(Leads!H40="","",Leads!H40)</f>
        <v/>
      </c>
      <c r="G40" s="13">
        <f>IF(Leads!AQ40="","",Leads!AQ40)</f>
        <v/>
      </c>
      <c r="H40" s="13">
        <f>IF(Leads!AS40="","",Leads!AS40)</f>
        <v/>
      </c>
      <c r="I40" s="13">
        <f>IF(Leads!S40="","",Leads!S40)</f>
        <v/>
      </c>
      <c r="J40" s="13">
        <f>IF(Leads!T40="","",Leads!T40)</f>
        <v/>
      </c>
      <c r="K40" s="13">
        <f>IF(Leads!AT40="","",Leads!AT40)</f>
        <v/>
      </c>
      <c r="L40" s="13" t="inlineStr">
        <is>
          <t>cold-outreach:lead-machine</t>
        </is>
      </c>
      <c r="M40" s="13">
        <f>IF(Leads!H40="","","cold-outreach,lead-machine,status:drafted,industry:"&amp;LOWER(SUBSTITUTE(SUBSTITUTE(SUBSTITUTE(TRIM(Leads!Q40)," ","-"),"/","-"),"&amp;","and"))&amp;",city:"&amp;LOWER(SUBSTITUTE(TRIM(Leads!S40)," ","-"))&amp;",entry:"&amp;LOWER(SUBSTITUTE(TRIM(Leads!W40)," ","-"))&amp;",attitude:"&amp;LOWER(SUBSTITUTE(SUBSTITUTE(TRIM(Leads!V40)," ","-"),"/","-")))</f>
        <v/>
      </c>
      <c r="N40" s="13">
        <f>IF(Leads!A40="","",Leads!A40)</f>
        <v/>
      </c>
      <c r="O40" s="13">
        <f>IF(Leads!F40="","",Leads!F40)</f>
        <v/>
      </c>
      <c r="P40" s="13">
        <f>IF(Leads!V40="","",Leads!V40)</f>
        <v/>
      </c>
      <c r="Q40" s="13">
        <f>IF(Leads!W40="","",Leads!W40)</f>
        <v/>
      </c>
      <c r="R40" s="13">
        <f>IF(Leads!AO40="","",Leads!AO40)</f>
        <v/>
      </c>
      <c r="S40" s="13">
        <f>IF(Leads!U40="","",Leads!U40)</f>
        <v/>
      </c>
      <c r="T40" s="13">
        <f>IF(Leads!Z40="","",Leads!Z40)</f>
        <v/>
      </c>
      <c r="U40" s="13">
        <f>IF(Leads!AA40="","",Leads!AA40)</f>
        <v/>
      </c>
      <c r="V40" s="13">
        <f>IF(Leads!K40="","",Leads!K40)</f>
        <v/>
      </c>
    </row>
    <row r="41">
      <c r="A41" s="13">
        <f>IF(Leads!D41="","",Leads!D41)</f>
        <v/>
      </c>
      <c r="B41" s="13">
        <f>IF(Leads!I41="","",Leads!I41)</f>
        <v/>
      </c>
      <c r="C41" s="13">
        <f>IF(Leads!J41="","",Leads!J41)</f>
        <v/>
      </c>
      <c r="D41" s="13">
        <f>IF(OR(Leads!L41="",Leads!L41="Not found"),IF(OR(Leads!AR41="",Leads!AR41="Not found"),"",Leads!AR41),Leads!L41)</f>
        <v/>
      </c>
      <c r="E41" s="13">
        <f>IF(OR(Leads!O41="",Leads!O41="Not found"),Leads!P41,Leads!O41)</f>
        <v/>
      </c>
      <c r="F41" s="13">
        <f>IF(Leads!H41="","",Leads!H41)</f>
        <v/>
      </c>
      <c r="G41" s="13">
        <f>IF(Leads!AQ41="","",Leads!AQ41)</f>
        <v/>
      </c>
      <c r="H41" s="13">
        <f>IF(Leads!AS41="","",Leads!AS41)</f>
        <v/>
      </c>
      <c r="I41" s="13">
        <f>IF(Leads!S41="","",Leads!S41)</f>
        <v/>
      </c>
      <c r="J41" s="13">
        <f>IF(Leads!T41="","",Leads!T41)</f>
        <v/>
      </c>
      <c r="K41" s="13">
        <f>IF(Leads!AT41="","",Leads!AT41)</f>
        <v/>
      </c>
      <c r="L41" s="13" t="inlineStr">
        <is>
          <t>cold-outreach:lead-machine</t>
        </is>
      </c>
      <c r="M41" s="13">
        <f>IF(Leads!H41="","","cold-outreach,lead-machine,status:drafted,industry:"&amp;LOWER(SUBSTITUTE(SUBSTITUTE(SUBSTITUTE(TRIM(Leads!Q41)," ","-"),"/","-"),"&amp;","and"))&amp;",city:"&amp;LOWER(SUBSTITUTE(TRIM(Leads!S41)," ","-"))&amp;",entry:"&amp;LOWER(SUBSTITUTE(TRIM(Leads!W41)," ","-"))&amp;",attitude:"&amp;LOWER(SUBSTITUTE(SUBSTITUTE(TRIM(Leads!V41)," ","-"),"/","-")))</f>
        <v/>
      </c>
      <c r="N41" s="13">
        <f>IF(Leads!A41="","",Leads!A41)</f>
        <v/>
      </c>
      <c r="O41" s="13">
        <f>IF(Leads!F41="","",Leads!F41)</f>
        <v/>
      </c>
      <c r="P41" s="13">
        <f>IF(Leads!V41="","",Leads!V41)</f>
        <v/>
      </c>
      <c r="Q41" s="13">
        <f>IF(Leads!W41="","",Leads!W41)</f>
        <v/>
      </c>
      <c r="R41" s="13">
        <f>IF(Leads!AO41="","",Leads!AO41)</f>
        <v/>
      </c>
      <c r="S41" s="13">
        <f>IF(Leads!U41="","",Leads!U41)</f>
        <v/>
      </c>
      <c r="T41" s="13">
        <f>IF(Leads!Z41="","",Leads!Z41)</f>
        <v/>
      </c>
      <c r="U41" s="13">
        <f>IF(Leads!AA41="","",Leads!AA41)</f>
        <v/>
      </c>
      <c r="V41" s="13">
        <f>IF(Leads!K41="","",Leads!K41)</f>
        <v/>
      </c>
    </row>
    <row r="42">
      <c r="A42" s="13">
        <f>IF(Leads!D42="","",Leads!D42)</f>
        <v/>
      </c>
      <c r="B42" s="13">
        <f>IF(Leads!I42="","",Leads!I42)</f>
        <v/>
      </c>
      <c r="C42" s="13">
        <f>IF(Leads!J42="","",Leads!J42)</f>
        <v/>
      </c>
      <c r="D42" s="13">
        <f>IF(OR(Leads!L42="",Leads!L42="Not found"),IF(OR(Leads!AR42="",Leads!AR42="Not found"),"",Leads!AR42),Leads!L42)</f>
        <v/>
      </c>
      <c r="E42" s="13">
        <f>IF(OR(Leads!O42="",Leads!O42="Not found"),Leads!P42,Leads!O42)</f>
        <v/>
      </c>
      <c r="F42" s="13">
        <f>IF(Leads!H42="","",Leads!H42)</f>
        <v/>
      </c>
      <c r="G42" s="13">
        <f>IF(Leads!AQ42="","",Leads!AQ42)</f>
        <v/>
      </c>
      <c r="H42" s="13">
        <f>IF(Leads!AS42="","",Leads!AS42)</f>
        <v/>
      </c>
      <c r="I42" s="13">
        <f>IF(Leads!S42="","",Leads!S42)</f>
        <v/>
      </c>
      <c r="J42" s="13">
        <f>IF(Leads!T42="","",Leads!T42)</f>
        <v/>
      </c>
      <c r="K42" s="13">
        <f>IF(Leads!AT42="","",Leads!AT42)</f>
        <v/>
      </c>
      <c r="L42" s="13" t="inlineStr">
        <is>
          <t>cold-outreach:lead-machine</t>
        </is>
      </c>
      <c r="M42" s="13">
        <f>IF(Leads!H42="","","cold-outreach,lead-machine,status:drafted,industry:"&amp;LOWER(SUBSTITUTE(SUBSTITUTE(SUBSTITUTE(TRIM(Leads!Q42)," ","-"),"/","-"),"&amp;","and"))&amp;",city:"&amp;LOWER(SUBSTITUTE(TRIM(Leads!S42)," ","-"))&amp;",entry:"&amp;LOWER(SUBSTITUTE(TRIM(Leads!W42)," ","-"))&amp;",attitude:"&amp;LOWER(SUBSTITUTE(SUBSTITUTE(TRIM(Leads!V42)," ","-"),"/","-")))</f>
        <v/>
      </c>
      <c r="N42" s="13">
        <f>IF(Leads!A42="","",Leads!A42)</f>
        <v/>
      </c>
      <c r="O42" s="13">
        <f>IF(Leads!F42="","",Leads!F42)</f>
        <v/>
      </c>
      <c r="P42" s="13">
        <f>IF(Leads!V42="","",Leads!V42)</f>
        <v/>
      </c>
      <c r="Q42" s="13">
        <f>IF(Leads!W42="","",Leads!W42)</f>
        <v/>
      </c>
      <c r="R42" s="13">
        <f>IF(Leads!AO42="","",Leads!AO42)</f>
        <v/>
      </c>
      <c r="S42" s="13">
        <f>IF(Leads!U42="","",Leads!U42)</f>
        <v/>
      </c>
      <c r="T42" s="13">
        <f>IF(Leads!Z42="","",Leads!Z42)</f>
        <v/>
      </c>
      <c r="U42" s="13">
        <f>IF(Leads!AA42="","",Leads!AA42)</f>
        <v/>
      </c>
      <c r="V42" s="13">
        <f>IF(Leads!K42="","",Leads!K42)</f>
        <v/>
      </c>
    </row>
    <row r="43">
      <c r="A43" s="13">
        <f>IF(Leads!D43="","",Leads!D43)</f>
        <v/>
      </c>
      <c r="B43" s="13">
        <f>IF(Leads!I43="","",Leads!I43)</f>
        <v/>
      </c>
      <c r="C43" s="13">
        <f>IF(Leads!J43="","",Leads!J43)</f>
        <v/>
      </c>
      <c r="D43" s="13">
        <f>IF(OR(Leads!L43="",Leads!L43="Not found"),IF(OR(Leads!AR43="",Leads!AR43="Not found"),"",Leads!AR43),Leads!L43)</f>
        <v/>
      </c>
      <c r="E43" s="13">
        <f>IF(OR(Leads!O43="",Leads!O43="Not found"),Leads!P43,Leads!O43)</f>
        <v/>
      </c>
      <c r="F43" s="13">
        <f>IF(Leads!H43="","",Leads!H43)</f>
        <v/>
      </c>
      <c r="G43" s="13">
        <f>IF(Leads!AQ43="","",Leads!AQ43)</f>
        <v/>
      </c>
      <c r="H43" s="13">
        <f>IF(Leads!AS43="","",Leads!AS43)</f>
        <v/>
      </c>
      <c r="I43" s="13">
        <f>IF(Leads!S43="","",Leads!S43)</f>
        <v/>
      </c>
      <c r="J43" s="13">
        <f>IF(Leads!T43="","",Leads!T43)</f>
        <v/>
      </c>
      <c r="K43" s="13">
        <f>IF(Leads!AT43="","",Leads!AT43)</f>
        <v/>
      </c>
      <c r="L43" s="13" t="inlineStr">
        <is>
          <t>cold-outreach:lead-machine</t>
        </is>
      </c>
      <c r="M43" s="13">
        <f>IF(Leads!H43="","","cold-outreach,lead-machine,status:drafted,industry:"&amp;LOWER(SUBSTITUTE(SUBSTITUTE(SUBSTITUTE(TRIM(Leads!Q43)," ","-"),"/","-"),"&amp;","and"))&amp;",city:"&amp;LOWER(SUBSTITUTE(TRIM(Leads!S43)," ","-"))&amp;",entry:"&amp;LOWER(SUBSTITUTE(TRIM(Leads!W43)," ","-"))&amp;",attitude:"&amp;LOWER(SUBSTITUTE(SUBSTITUTE(TRIM(Leads!V43)," ","-"),"/","-")))</f>
        <v/>
      </c>
      <c r="N43" s="13">
        <f>IF(Leads!A43="","",Leads!A43)</f>
        <v/>
      </c>
      <c r="O43" s="13">
        <f>IF(Leads!F43="","",Leads!F43)</f>
        <v/>
      </c>
      <c r="P43" s="13">
        <f>IF(Leads!V43="","",Leads!V43)</f>
        <v/>
      </c>
      <c r="Q43" s="13">
        <f>IF(Leads!W43="","",Leads!W43)</f>
        <v/>
      </c>
      <c r="R43" s="13">
        <f>IF(Leads!AO43="","",Leads!AO43)</f>
        <v/>
      </c>
      <c r="S43" s="13">
        <f>IF(Leads!U43="","",Leads!U43)</f>
        <v/>
      </c>
      <c r="T43" s="13">
        <f>IF(Leads!Z43="","",Leads!Z43)</f>
        <v/>
      </c>
      <c r="U43" s="13">
        <f>IF(Leads!AA43="","",Leads!AA43)</f>
        <v/>
      </c>
      <c r="V43" s="13">
        <f>IF(Leads!K43="","",Leads!K43)</f>
        <v/>
      </c>
    </row>
    <row r="44">
      <c r="A44" s="13">
        <f>IF(Leads!D44="","",Leads!D44)</f>
        <v/>
      </c>
      <c r="B44" s="13">
        <f>IF(Leads!I44="","",Leads!I44)</f>
        <v/>
      </c>
      <c r="C44" s="13">
        <f>IF(Leads!J44="","",Leads!J44)</f>
        <v/>
      </c>
      <c r="D44" s="13">
        <f>IF(OR(Leads!L44="",Leads!L44="Not found"),IF(OR(Leads!AR44="",Leads!AR44="Not found"),"",Leads!AR44),Leads!L44)</f>
        <v/>
      </c>
      <c r="E44" s="13">
        <f>IF(OR(Leads!O44="",Leads!O44="Not found"),Leads!P44,Leads!O44)</f>
        <v/>
      </c>
      <c r="F44" s="13">
        <f>IF(Leads!H44="","",Leads!H44)</f>
        <v/>
      </c>
      <c r="G44" s="13">
        <f>IF(Leads!AQ44="","",Leads!AQ44)</f>
        <v/>
      </c>
      <c r="H44" s="13">
        <f>IF(Leads!AS44="","",Leads!AS44)</f>
        <v/>
      </c>
      <c r="I44" s="13">
        <f>IF(Leads!S44="","",Leads!S44)</f>
        <v/>
      </c>
      <c r="J44" s="13">
        <f>IF(Leads!T44="","",Leads!T44)</f>
        <v/>
      </c>
      <c r="K44" s="13">
        <f>IF(Leads!AT44="","",Leads!AT44)</f>
        <v/>
      </c>
      <c r="L44" s="13" t="inlineStr">
        <is>
          <t>cold-outreach:lead-machine</t>
        </is>
      </c>
      <c r="M44" s="13">
        <f>IF(Leads!H44="","","cold-outreach,lead-machine,status:drafted,industry:"&amp;LOWER(SUBSTITUTE(SUBSTITUTE(SUBSTITUTE(TRIM(Leads!Q44)," ","-"),"/","-"),"&amp;","and"))&amp;",city:"&amp;LOWER(SUBSTITUTE(TRIM(Leads!S44)," ","-"))&amp;",entry:"&amp;LOWER(SUBSTITUTE(TRIM(Leads!W44)," ","-"))&amp;",attitude:"&amp;LOWER(SUBSTITUTE(SUBSTITUTE(TRIM(Leads!V44)," ","-"),"/","-")))</f>
        <v/>
      </c>
      <c r="N44" s="13">
        <f>IF(Leads!A44="","",Leads!A44)</f>
        <v/>
      </c>
      <c r="O44" s="13">
        <f>IF(Leads!F44="","",Leads!F44)</f>
        <v/>
      </c>
      <c r="P44" s="13">
        <f>IF(Leads!V44="","",Leads!V44)</f>
        <v/>
      </c>
      <c r="Q44" s="13">
        <f>IF(Leads!W44="","",Leads!W44)</f>
        <v/>
      </c>
      <c r="R44" s="13">
        <f>IF(Leads!AO44="","",Leads!AO44)</f>
        <v/>
      </c>
      <c r="S44" s="13">
        <f>IF(Leads!U44="","",Leads!U44)</f>
        <v/>
      </c>
      <c r="T44" s="13">
        <f>IF(Leads!Z44="","",Leads!Z44)</f>
        <v/>
      </c>
      <c r="U44" s="13">
        <f>IF(Leads!AA44="","",Leads!AA44)</f>
        <v/>
      </c>
      <c r="V44" s="13">
        <f>IF(Leads!K44="","",Leads!K44)</f>
        <v/>
      </c>
    </row>
    <row r="45">
      <c r="A45" s="13">
        <f>IF(Leads!D45="","",Leads!D45)</f>
        <v/>
      </c>
      <c r="B45" s="13">
        <f>IF(Leads!I45="","",Leads!I45)</f>
        <v/>
      </c>
      <c r="C45" s="13">
        <f>IF(Leads!J45="","",Leads!J45)</f>
        <v/>
      </c>
      <c r="D45" s="13">
        <f>IF(OR(Leads!L45="",Leads!L45="Not found"),IF(OR(Leads!AR45="",Leads!AR45="Not found"),"",Leads!AR45),Leads!L45)</f>
        <v/>
      </c>
      <c r="E45" s="13">
        <f>IF(OR(Leads!O45="",Leads!O45="Not found"),Leads!P45,Leads!O45)</f>
        <v/>
      </c>
      <c r="F45" s="13">
        <f>IF(Leads!H45="","",Leads!H45)</f>
        <v/>
      </c>
      <c r="G45" s="13">
        <f>IF(Leads!AQ45="","",Leads!AQ45)</f>
        <v/>
      </c>
      <c r="H45" s="13">
        <f>IF(Leads!AS45="","",Leads!AS45)</f>
        <v/>
      </c>
      <c r="I45" s="13">
        <f>IF(Leads!S45="","",Leads!S45)</f>
        <v/>
      </c>
      <c r="J45" s="13">
        <f>IF(Leads!T45="","",Leads!T45)</f>
        <v/>
      </c>
      <c r="K45" s="13">
        <f>IF(Leads!AT45="","",Leads!AT45)</f>
        <v/>
      </c>
      <c r="L45" s="13" t="inlineStr">
        <is>
          <t>cold-outreach:lead-machine</t>
        </is>
      </c>
      <c r="M45" s="13">
        <f>IF(Leads!H45="","","cold-outreach,lead-machine,status:drafted,industry:"&amp;LOWER(SUBSTITUTE(SUBSTITUTE(SUBSTITUTE(TRIM(Leads!Q45)," ","-"),"/","-"),"&amp;","and"))&amp;",city:"&amp;LOWER(SUBSTITUTE(TRIM(Leads!S45)," ","-"))&amp;",entry:"&amp;LOWER(SUBSTITUTE(TRIM(Leads!W45)," ","-"))&amp;",attitude:"&amp;LOWER(SUBSTITUTE(SUBSTITUTE(TRIM(Leads!V45)," ","-"),"/","-")))</f>
        <v/>
      </c>
      <c r="N45" s="13">
        <f>IF(Leads!A45="","",Leads!A45)</f>
        <v/>
      </c>
      <c r="O45" s="13">
        <f>IF(Leads!F45="","",Leads!F45)</f>
        <v/>
      </c>
      <c r="P45" s="13">
        <f>IF(Leads!V45="","",Leads!V45)</f>
        <v/>
      </c>
      <c r="Q45" s="13">
        <f>IF(Leads!W45="","",Leads!W45)</f>
        <v/>
      </c>
      <c r="R45" s="13">
        <f>IF(Leads!AO45="","",Leads!AO45)</f>
        <v/>
      </c>
      <c r="S45" s="13">
        <f>IF(Leads!U45="","",Leads!U45)</f>
        <v/>
      </c>
      <c r="T45" s="13">
        <f>IF(Leads!Z45="","",Leads!Z45)</f>
        <v/>
      </c>
      <c r="U45" s="13">
        <f>IF(Leads!AA45="","",Leads!AA45)</f>
        <v/>
      </c>
      <c r="V45" s="13">
        <f>IF(Leads!K45="","",Leads!K45)</f>
        <v/>
      </c>
    </row>
    <row r="46">
      <c r="A46" s="13">
        <f>IF(Leads!D46="","",Leads!D46)</f>
        <v/>
      </c>
      <c r="B46" s="13">
        <f>IF(Leads!I46="","",Leads!I46)</f>
        <v/>
      </c>
      <c r="C46" s="13">
        <f>IF(Leads!J46="","",Leads!J46)</f>
        <v/>
      </c>
      <c r="D46" s="13">
        <f>IF(OR(Leads!L46="",Leads!L46="Not found"),IF(OR(Leads!AR46="",Leads!AR46="Not found"),"",Leads!AR46),Leads!L46)</f>
        <v/>
      </c>
      <c r="E46" s="13">
        <f>IF(OR(Leads!O46="",Leads!O46="Not found"),Leads!P46,Leads!O46)</f>
        <v/>
      </c>
      <c r="F46" s="13">
        <f>IF(Leads!H46="","",Leads!H46)</f>
        <v/>
      </c>
      <c r="G46" s="13">
        <f>IF(Leads!AQ46="","",Leads!AQ46)</f>
        <v/>
      </c>
      <c r="H46" s="13">
        <f>IF(Leads!AS46="","",Leads!AS46)</f>
        <v/>
      </c>
      <c r="I46" s="13">
        <f>IF(Leads!S46="","",Leads!S46)</f>
        <v/>
      </c>
      <c r="J46" s="13">
        <f>IF(Leads!T46="","",Leads!T46)</f>
        <v/>
      </c>
      <c r="K46" s="13">
        <f>IF(Leads!AT46="","",Leads!AT46)</f>
        <v/>
      </c>
      <c r="L46" s="13" t="inlineStr">
        <is>
          <t>cold-outreach:lead-machine</t>
        </is>
      </c>
      <c r="M46" s="13">
        <f>IF(Leads!H46="","","cold-outreach,lead-machine,status:drafted,industry:"&amp;LOWER(SUBSTITUTE(SUBSTITUTE(SUBSTITUTE(TRIM(Leads!Q46)," ","-"),"/","-"),"&amp;","and"))&amp;",city:"&amp;LOWER(SUBSTITUTE(TRIM(Leads!S46)," ","-"))&amp;",entry:"&amp;LOWER(SUBSTITUTE(TRIM(Leads!W46)," ","-"))&amp;",attitude:"&amp;LOWER(SUBSTITUTE(SUBSTITUTE(TRIM(Leads!V46)," ","-"),"/","-")))</f>
        <v/>
      </c>
      <c r="N46" s="13">
        <f>IF(Leads!A46="","",Leads!A46)</f>
        <v/>
      </c>
      <c r="O46" s="13">
        <f>IF(Leads!F46="","",Leads!F46)</f>
        <v/>
      </c>
      <c r="P46" s="13">
        <f>IF(Leads!V46="","",Leads!V46)</f>
        <v/>
      </c>
      <c r="Q46" s="13">
        <f>IF(Leads!W46="","",Leads!W46)</f>
        <v/>
      </c>
      <c r="R46" s="13">
        <f>IF(Leads!AO46="","",Leads!AO46)</f>
        <v/>
      </c>
      <c r="S46" s="13">
        <f>IF(Leads!U46="","",Leads!U46)</f>
        <v/>
      </c>
      <c r="T46" s="13">
        <f>IF(Leads!Z46="","",Leads!Z46)</f>
        <v/>
      </c>
      <c r="U46" s="13">
        <f>IF(Leads!AA46="","",Leads!AA46)</f>
        <v/>
      </c>
      <c r="V46" s="13">
        <f>IF(Leads!K46="","",Leads!K46)</f>
        <v/>
      </c>
    </row>
    <row r="47">
      <c r="A47" s="13">
        <f>IF(Leads!D47="","",Leads!D47)</f>
        <v/>
      </c>
      <c r="B47" s="13">
        <f>IF(Leads!I47="","",Leads!I47)</f>
        <v/>
      </c>
      <c r="C47" s="13">
        <f>IF(Leads!J47="","",Leads!J47)</f>
        <v/>
      </c>
      <c r="D47" s="13">
        <f>IF(OR(Leads!L47="",Leads!L47="Not found"),IF(OR(Leads!AR47="",Leads!AR47="Not found"),"",Leads!AR47),Leads!L47)</f>
        <v/>
      </c>
      <c r="E47" s="13">
        <f>IF(OR(Leads!O47="",Leads!O47="Not found"),Leads!P47,Leads!O47)</f>
        <v/>
      </c>
      <c r="F47" s="13">
        <f>IF(Leads!H47="","",Leads!H47)</f>
        <v/>
      </c>
      <c r="G47" s="13">
        <f>IF(Leads!AQ47="","",Leads!AQ47)</f>
        <v/>
      </c>
      <c r="H47" s="13">
        <f>IF(Leads!AS47="","",Leads!AS47)</f>
        <v/>
      </c>
      <c r="I47" s="13">
        <f>IF(Leads!S47="","",Leads!S47)</f>
        <v/>
      </c>
      <c r="J47" s="13">
        <f>IF(Leads!T47="","",Leads!T47)</f>
        <v/>
      </c>
      <c r="K47" s="13">
        <f>IF(Leads!AT47="","",Leads!AT47)</f>
        <v/>
      </c>
      <c r="L47" s="13" t="inlineStr">
        <is>
          <t>cold-outreach:lead-machine</t>
        </is>
      </c>
      <c r="M47" s="13">
        <f>IF(Leads!H47="","","cold-outreach,lead-machine,status:drafted,industry:"&amp;LOWER(SUBSTITUTE(SUBSTITUTE(SUBSTITUTE(TRIM(Leads!Q47)," ","-"),"/","-"),"&amp;","and"))&amp;",city:"&amp;LOWER(SUBSTITUTE(TRIM(Leads!S47)," ","-"))&amp;",entry:"&amp;LOWER(SUBSTITUTE(TRIM(Leads!W47)," ","-"))&amp;",attitude:"&amp;LOWER(SUBSTITUTE(SUBSTITUTE(TRIM(Leads!V47)," ","-"),"/","-")))</f>
        <v/>
      </c>
      <c r="N47" s="13">
        <f>IF(Leads!A47="","",Leads!A47)</f>
        <v/>
      </c>
      <c r="O47" s="13">
        <f>IF(Leads!F47="","",Leads!F47)</f>
        <v/>
      </c>
      <c r="P47" s="13">
        <f>IF(Leads!V47="","",Leads!V47)</f>
        <v/>
      </c>
      <c r="Q47" s="13">
        <f>IF(Leads!W47="","",Leads!W47)</f>
        <v/>
      </c>
      <c r="R47" s="13">
        <f>IF(Leads!AO47="","",Leads!AO47)</f>
        <v/>
      </c>
      <c r="S47" s="13">
        <f>IF(Leads!U47="","",Leads!U47)</f>
        <v/>
      </c>
      <c r="T47" s="13">
        <f>IF(Leads!Z47="","",Leads!Z47)</f>
        <v/>
      </c>
      <c r="U47" s="13">
        <f>IF(Leads!AA47="","",Leads!AA47)</f>
        <v/>
      </c>
      <c r="V47" s="13">
        <f>IF(Leads!K47="","",Leads!K47)</f>
        <v/>
      </c>
    </row>
    <row r="48">
      <c r="A48" s="13">
        <f>IF(Leads!D48="","",Leads!D48)</f>
        <v/>
      </c>
      <c r="B48" s="13">
        <f>IF(Leads!I48="","",Leads!I48)</f>
        <v/>
      </c>
      <c r="C48" s="13">
        <f>IF(Leads!J48="","",Leads!J48)</f>
        <v/>
      </c>
      <c r="D48" s="13">
        <f>IF(OR(Leads!L48="",Leads!L48="Not found"),IF(OR(Leads!AR48="",Leads!AR48="Not found"),"",Leads!AR48),Leads!L48)</f>
        <v/>
      </c>
      <c r="E48" s="13">
        <f>IF(OR(Leads!O48="",Leads!O48="Not found"),Leads!P48,Leads!O48)</f>
        <v/>
      </c>
      <c r="F48" s="13">
        <f>IF(Leads!H48="","",Leads!H48)</f>
        <v/>
      </c>
      <c r="G48" s="13">
        <f>IF(Leads!AQ48="","",Leads!AQ48)</f>
        <v/>
      </c>
      <c r="H48" s="13">
        <f>IF(Leads!AS48="","",Leads!AS48)</f>
        <v/>
      </c>
      <c r="I48" s="13">
        <f>IF(Leads!S48="","",Leads!S48)</f>
        <v/>
      </c>
      <c r="J48" s="13">
        <f>IF(Leads!T48="","",Leads!T48)</f>
        <v/>
      </c>
      <c r="K48" s="13">
        <f>IF(Leads!AT48="","",Leads!AT48)</f>
        <v/>
      </c>
      <c r="L48" s="13" t="inlineStr">
        <is>
          <t>cold-outreach:lead-machine</t>
        </is>
      </c>
      <c r="M48" s="13">
        <f>IF(Leads!H48="","","cold-outreach,lead-machine,status:drafted,industry:"&amp;LOWER(SUBSTITUTE(SUBSTITUTE(SUBSTITUTE(TRIM(Leads!Q48)," ","-"),"/","-"),"&amp;","and"))&amp;",city:"&amp;LOWER(SUBSTITUTE(TRIM(Leads!S48)," ","-"))&amp;",entry:"&amp;LOWER(SUBSTITUTE(TRIM(Leads!W48)," ","-"))&amp;",attitude:"&amp;LOWER(SUBSTITUTE(SUBSTITUTE(TRIM(Leads!V48)," ","-"),"/","-")))</f>
        <v/>
      </c>
      <c r="N48" s="13">
        <f>IF(Leads!A48="","",Leads!A48)</f>
        <v/>
      </c>
      <c r="O48" s="13">
        <f>IF(Leads!F48="","",Leads!F48)</f>
        <v/>
      </c>
      <c r="P48" s="13">
        <f>IF(Leads!V48="","",Leads!V48)</f>
        <v/>
      </c>
      <c r="Q48" s="13">
        <f>IF(Leads!W48="","",Leads!W48)</f>
        <v/>
      </c>
      <c r="R48" s="13">
        <f>IF(Leads!AO48="","",Leads!AO48)</f>
        <v/>
      </c>
      <c r="S48" s="13">
        <f>IF(Leads!U48="","",Leads!U48)</f>
        <v/>
      </c>
      <c r="T48" s="13">
        <f>IF(Leads!Z48="","",Leads!Z48)</f>
        <v/>
      </c>
      <c r="U48" s="13">
        <f>IF(Leads!AA48="","",Leads!AA48)</f>
        <v/>
      </c>
      <c r="V48" s="13">
        <f>IF(Leads!K48="","",Leads!K48)</f>
        <v/>
      </c>
    </row>
    <row r="49">
      <c r="A49" s="13">
        <f>IF(Leads!D49="","",Leads!D49)</f>
        <v/>
      </c>
      <c r="B49" s="13">
        <f>IF(Leads!I49="","",Leads!I49)</f>
        <v/>
      </c>
      <c r="C49" s="13">
        <f>IF(Leads!J49="","",Leads!J49)</f>
        <v/>
      </c>
      <c r="D49" s="13">
        <f>IF(OR(Leads!L49="",Leads!L49="Not found"),IF(OR(Leads!AR49="",Leads!AR49="Not found"),"",Leads!AR49),Leads!L49)</f>
        <v/>
      </c>
      <c r="E49" s="13">
        <f>IF(OR(Leads!O49="",Leads!O49="Not found"),Leads!P49,Leads!O49)</f>
        <v/>
      </c>
      <c r="F49" s="13">
        <f>IF(Leads!H49="","",Leads!H49)</f>
        <v/>
      </c>
      <c r="G49" s="13">
        <f>IF(Leads!AQ49="","",Leads!AQ49)</f>
        <v/>
      </c>
      <c r="H49" s="13">
        <f>IF(Leads!AS49="","",Leads!AS49)</f>
        <v/>
      </c>
      <c r="I49" s="13">
        <f>IF(Leads!S49="","",Leads!S49)</f>
        <v/>
      </c>
      <c r="J49" s="13">
        <f>IF(Leads!T49="","",Leads!T49)</f>
        <v/>
      </c>
      <c r="K49" s="13">
        <f>IF(Leads!AT49="","",Leads!AT49)</f>
        <v/>
      </c>
      <c r="L49" s="13" t="inlineStr">
        <is>
          <t>cold-outreach:lead-machine</t>
        </is>
      </c>
      <c r="M49" s="13">
        <f>IF(Leads!H49="","","cold-outreach,lead-machine,status:drafted,industry:"&amp;LOWER(SUBSTITUTE(SUBSTITUTE(SUBSTITUTE(TRIM(Leads!Q49)," ","-"),"/","-"),"&amp;","and"))&amp;",city:"&amp;LOWER(SUBSTITUTE(TRIM(Leads!S49)," ","-"))&amp;",entry:"&amp;LOWER(SUBSTITUTE(TRIM(Leads!W49)," ","-"))&amp;",attitude:"&amp;LOWER(SUBSTITUTE(SUBSTITUTE(TRIM(Leads!V49)," ","-"),"/","-")))</f>
        <v/>
      </c>
      <c r="N49" s="13">
        <f>IF(Leads!A49="","",Leads!A49)</f>
        <v/>
      </c>
      <c r="O49" s="13">
        <f>IF(Leads!F49="","",Leads!F49)</f>
        <v/>
      </c>
      <c r="P49" s="13">
        <f>IF(Leads!V49="","",Leads!V49)</f>
        <v/>
      </c>
      <c r="Q49" s="13">
        <f>IF(Leads!W49="","",Leads!W49)</f>
        <v/>
      </c>
      <c r="R49" s="13">
        <f>IF(Leads!AO49="","",Leads!AO49)</f>
        <v/>
      </c>
      <c r="S49" s="13">
        <f>IF(Leads!U49="","",Leads!U49)</f>
        <v/>
      </c>
      <c r="T49" s="13">
        <f>IF(Leads!Z49="","",Leads!Z49)</f>
        <v/>
      </c>
      <c r="U49" s="13">
        <f>IF(Leads!AA49="","",Leads!AA49)</f>
        <v/>
      </c>
      <c r="V49" s="13">
        <f>IF(Leads!K49="","",Leads!K49)</f>
        <v/>
      </c>
    </row>
    <row r="50">
      <c r="A50" s="13">
        <f>IF(Leads!D50="","",Leads!D50)</f>
        <v/>
      </c>
      <c r="B50" s="13">
        <f>IF(Leads!I50="","",Leads!I50)</f>
        <v/>
      </c>
      <c r="C50" s="13">
        <f>IF(Leads!J50="","",Leads!J50)</f>
        <v/>
      </c>
      <c r="D50" s="13">
        <f>IF(OR(Leads!L50="",Leads!L50="Not found"),IF(OR(Leads!AR50="",Leads!AR50="Not found"),"",Leads!AR50),Leads!L50)</f>
        <v/>
      </c>
      <c r="E50" s="13">
        <f>IF(OR(Leads!O50="",Leads!O50="Not found"),Leads!P50,Leads!O50)</f>
        <v/>
      </c>
      <c r="F50" s="13">
        <f>IF(Leads!H50="","",Leads!H50)</f>
        <v/>
      </c>
      <c r="G50" s="13">
        <f>IF(Leads!AQ50="","",Leads!AQ50)</f>
        <v/>
      </c>
      <c r="H50" s="13">
        <f>IF(Leads!AS50="","",Leads!AS50)</f>
        <v/>
      </c>
      <c r="I50" s="13">
        <f>IF(Leads!S50="","",Leads!S50)</f>
        <v/>
      </c>
      <c r="J50" s="13">
        <f>IF(Leads!T50="","",Leads!T50)</f>
        <v/>
      </c>
      <c r="K50" s="13">
        <f>IF(Leads!AT50="","",Leads!AT50)</f>
        <v/>
      </c>
      <c r="L50" s="13" t="inlineStr">
        <is>
          <t>cold-outreach:lead-machine</t>
        </is>
      </c>
      <c r="M50" s="13">
        <f>IF(Leads!H50="","","cold-outreach,lead-machine,status:drafted,industry:"&amp;LOWER(SUBSTITUTE(SUBSTITUTE(SUBSTITUTE(TRIM(Leads!Q50)," ","-"),"/","-"),"&amp;","and"))&amp;",city:"&amp;LOWER(SUBSTITUTE(TRIM(Leads!S50)," ","-"))&amp;",entry:"&amp;LOWER(SUBSTITUTE(TRIM(Leads!W50)," ","-"))&amp;",attitude:"&amp;LOWER(SUBSTITUTE(SUBSTITUTE(TRIM(Leads!V50)," ","-"),"/","-")))</f>
        <v/>
      </c>
      <c r="N50" s="13">
        <f>IF(Leads!A50="","",Leads!A50)</f>
        <v/>
      </c>
      <c r="O50" s="13">
        <f>IF(Leads!F50="","",Leads!F50)</f>
        <v/>
      </c>
      <c r="P50" s="13">
        <f>IF(Leads!V50="","",Leads!V50)</f>
        <v/>
      </c>
      <c r="Q50" s="13">
        <f>IF(Leads!W50="","",Leads!W50)</f>
        <v/>
      </c>
      <c r="R50" s="13">
        <f>IF(Leads!AO50="","",Leads!AO50)</f>
        <v/>
      </c>
      <c r="S50" s="13">
        <f>IF(Leads!U50="","",Leads!U50)</f>
        <v/>
      </c>
      <c r="T50" s="13">
        <f>IF(Leads!Z50="","",Leads!Z50)</f>
        <v/>
      </c>
      <c r="U50" s="13">
        <f>IF(Leads!AA50="","",Leads!AA50)</f>
        <v/>
      </c>
      <c r="V50" s="13">
        <f>IF(Leads!K50="","",Leads!K50)</f>
        <v/>
      </c>
    </row>
    <row r="51">
      <c r="A51" s="13">
        <f>IF(Leads!D51="","",Leads!D51)</f>
        <v/>
      </c>
      <c r="B51" s="13">
        <f>IF(Leads!I51="","",Leads!I51)</f>
        <v/>
      </c>
      <c r="C51" s="13">
        <f>IF(Leads!J51="","",Leads!J51)</f>
        <v/>
      </c>
      <c r="D51" s="13">
        <f>IF(OR(Leads!L51="",Leads!L51="Not found"),IF(OR(Leads!AR51="",Leads!AR51="Not found"),"",Leads!AR51),Leads!L51)</f>
        <v/>
      </c>
      <c r="E51" s="13">
        <f>IF(OR(Leads!O51="",Leads!O51="Not found"),Leads!P51,Leads!O51)</f>
        <v/>
      </c>
      <c r="F51" s="13">
        <f>IF(Leads!H51="","",Leads!H51)</f>
        <v/>
      </c>
      <c r="G51" s="13">
        <f>IF(Leads!AQ51="","",Leads!AQ51)</f>
        <v/>
      </c>
      <c r="H51" s="13">
        <f>IF(Leads!AS51="","",Leads!AS51)</f>
        <v/>
      </c>
      <c r="I51" s="13">
        <f>IF(Leads!S51="","",Leads!S51)</f>
        <v/>
      </c>
      <c r="J51" s="13">
        <f>IF(Leads!T51="","",Leads!T51)</f>
        <v/>
      </c>
      <c r="K51" s="13">
        <f>IF(Leads!AT51="","",Leads!AT51)</f>
        <v/>
      </c>
      <c r="L51" s="13" t="inlineStr">
        <is>
          <t>cold-outreach:lead-machine</t>
        </is>
      </c>
      <c r="M51" s="13">
        <f>IF(Leads!H51="","","cold-outreach,lead-machine,status:drafted,industry:"&amp;LOWER(SUBSTITUTE(SUBSTITUTE(SUBSTITUTE(TRIM(Leads!Q51)," ","-"),"/","-"),"&amp;","and"))&amp;",city:"&amp;LOWER(SUBSTITUTE(TRIM(Leads!S51)," ","-"))&amp;",entry:"&amp;LOWER(SUBSTITUTE(TRIM(Leads!W51)," ","-"))&amp;",attitude:"&amp;LOWER(SUBSTITUTE(SUBSTITUTE(TRIM(Leads!V51)," ","-"),"/","-")))</f>
        <v/>
      </c>
      <c r="N51" s="13">
        <f>IF(Leads!A51="","",Leads!A51)</f>
        <v/>
      </c>
      <c r="O51" s="13">
        <f>IF(Leads!F51="","",Leads!F51)</f>
        <v/>
      </c>
      <c r="P51" s="13">
        <f>IF(Leads!V51="","",Leads!V51)</f>
        <v/>
      </c>
      <c r="Q51" s="13">
        <f>IF(Leads!W51="","",Leads!W51)</f>
        <v/>
      </c>
      <c r="R51" s="13">
        <f>IF(Leads!AO51="","",Leads!AO51)</f>
        <v/>
      </c>
      <c r="S51" s="13">
        <f>IF(Leads!U51="","",Leads!U51)</f>
        <v/>
      </c>
      <c r="T51" s="13">
        <f>IF(Leads!Z51="","",Leads!Z51)</f>
        <v/>
      </c>
      <c r="U51" s="13">
        <f>IF(Leads!AA51="","",Leads!AA51)</f>
        <v/>
      </c>
      <c r="V51" s="13">
        <f>IF(Leads!K51="","",Leads!K51)</f>
        <v/>
      </c>
    </row>
    <row r="52">
      <c r="A52" s="13">
        <f>IF(Leads!D52="","",Leads!D52)</f>
        <v/>
      </c>
      <c r="B52" s="13">
        <f>IF(Leads!I52="","",Leads!I52)</f>
        <v/>
      </c>
      <c r="C52" s="13">
        <f>IF(Leads!J52="","",Leads!J52)</f>
        <v/>
      </c>
      <c r="D52" s="13">
        <f>IF(OR(Leads!L52="",Leads!L52="Not found"),IF(OR(Leads!AR52="",Leads!AR52="Not found"),"",Leads!AR52),Leads!L52)</f>
        <v/>
      </c>
      <c r="E52" s="13">
        <f>IF(OR(Leads!O52="",Leads!O52="Not found"),Leads!P52,Leads!O52)</f>
        <v/>
      </c>
      <c r="F52" s="13">
        <f>IF(Leads!H52="","",Leads!H52)</f>
        <v/>
      </c>
      <c r="G52" s="13">
        <f>IF(Leads!AQ52="","",Leads!AQ52)</f>
        <v/>
      </c>
      <c r="H52" s="13">
        <f>IF(Leads!AS52="","",Leads!AS52)</f>
        <v/>
      </c>
      <c r="I52" s="13">
        <f>IF(Leads!S52="","",Leads!S52)</f>
        <v/>
      </c>
      <c r="J52" s="13">
        <f>IF(Leads!T52="","",Leads!T52)</f>
        <v/>
      </c>
      <c r="K52" s="13">
        <f>IF(Leads!AT52="","",Leads!AT52)</f>
        <v/>
      </c>
      <c r="L52" s="13" t="inlineStr">
        <is>
          <t>cold-outreach:lead-machine</t>
        </is>
      </c>
      <c r="M52" s="13">
        <f>IF(Leads!H52="","","cold-outreach,lead-machine,status:drafted,industry:"&amp;LOWER(SUBSTITUTE(SUBSTITUTE(SUBSTITUTE(TRIM(Leads!Q52)," ","-"),"/","-"),"&amp;","and"))&amp;",city:"&amp;LOWER(SUBSTITUTE(TRIM(Leads!S52)," ","-"))&amp;",entry:"&amp;LOWER(SUBSTITUTE(TRIM(Leads!W52)," ","-"))&amp;",attitude:"&amp;LOWER(SUBSTITUTE(SUBSTITUTE(TRIM(Leads!V52)," ","-"),"/","-")))</f>
        <v/>
      </c>
      <c r="N52" s="13">
        <f>IF(Leads!A52="","",Leads!A52)</f>
        <v/>
      </c>
      <c r="O52" s="13">
        <f>IF(Leads!F52="","",Leads!F52)</f>
        <v/>
      </c>
      <c r="P52" s="13">
        <f>IF(Leads!V52="","",Leads!V52)</f>
        <v/>
      </c>
      <c r="Q52" s="13">
        <f>IF(Leads!W52="","",Leads!W52)</f>
        <v/>
      </c>
      <c r="R52" s="13">
        <f>IF(Leads!AO52="","",Leads!AO52)</f>
        <v/>
      </c>
      <c r="S52" s="13">
        <f>IF(Leads!U52="","",Leads!U52)</f>
        <v/>
      </c>
      <c r="T52" s="13">
        <f>IF(Leads!Z52="","",Leads!Z52)</f>
        <v/>
      </c>
      <c r="U52" s="13">
        <f>IF(Leads!AA52="","",Leads!AA52)</f>
        <v/>
      </c>
      <c r="V52" s="13">
        <f>IF(Leads!K52="","",Leads!K52)</f>
        <v/>
      </c>
    </row>
    <row r="53">
      <c r="A53" s="13">
        <f>IF(Leads!D53="","",Leads!D53)</f>
        <v/>
      </c>
      <c r="B53" s="13">
        <f>IF(Leads!I53="","",Leads!I53)</f>
        <v/>
      </c>
      <c r="C53" s="13">
        <f>IF(Leads!J53="","",Leads!J53)</f>
        <v/>
      </c>
      <c r="D53" s="13">
        <f>IF(OR(Leads!L53="",Leads!L53="Not found"),IF(OR(Leads!AR53="",Leads!AR53="Not found"),"",Leads!AR53),Leads!L53)</f>
        <v/>
      </c>
      <c r="E53" s="13">
        <f>IF(OR(Leads!O53="",Leads!O53="Not found"),Leads!P53,Leads!O53)</f>
        <v/>
      </c>
      <c r="F53" s="13">
        <f>IF(Leads!H53="","",Leads!H53)</f>
        <v/>
      </c>
      <c r="G53" s="13">
        <f>IF(Leads!AQ53="","",Leads!AQ53)</f>
        <v/>
      </c>
      <c r="H53" s="13">
        <f>IF(Leads!AS53="","",Leads!AS53)</f>
        <v/>
      </c>
      <c r="I53" s="13">
        <f>IF(Leads!S53="","",Leads!S53)</f>
        <v/>
      </c>
      <c r="J53" s="13">
        <f>IF(Leads!T53="","",Leads!T53)</f>
        <v/>
      </c>
      <c r="K53" s="13">
        <f>IF(Leads!AT53="","",Leads!AT53)</f>
        <v/>
      </c>
      <c r="L53" s="13" t="inlineStr">
        <is>
          <t>cold-outreach:lead-machine</t>
        </is>
      </c>
      <c r="M53" s="13">
        <f>IF(Leads!H53="","","cold-outreach,lead-machine,status:drafted,industry:"&amp;LOWER(SUBSTITUTE(SUBSTITUTE(SUBSTITUTE(TRIM(Leads!Q53)," ","-"),"/","-"),"&amp;","and"))&amp;",city:"&amp;LOWER(SUBSTITUTE(TRIM(Leads!S53)," ","-"))&amp;",entry:"&amp;LOWER(SUBSTITUTE(TRIM(Leads!W53)," ","-"))&amp;",attitude:"&amp;LOWER(SUBSTITUTE(SUBSTITUTE(TRIM(Leads!V53)," ","-"),"/","-")))</f>
        <v/>
      </c>
      <c r="N53" s="13">
        <f>IF(Leads!A53="","",Leads!A53)</f>
        <v/>
      </c>
      <c r="O53" s="13">
        <f>IF(Leads!F53="","",Leads!F53)</f>
        <v/>
      </c>
      <c r="P53" s="13">
        <f>IF(Leads!V53="","",Leads!V53)</f>
        <v/>
      </c>
      <c r="Q53" s="13">
        <f>IF(Leads!W53="","",Leads!W53)</f>
        <v/>
      </c>
      <c r="R53" s="13">
        <f>IF(Leads!AO53="","",Leads!AO53)</f>
        <v/>
      </c>
      <c r="S53" s="13">
        <f>IF(Leads!U53="","",Leads!U53)</f>
        <v/>
      </c>
      <c r="T53" s="13">
        <f>IF(Leads!Z53="","",Leads!Z53)</f>
        <v/>
      </c>
      <c r="U53" s="13">
        <f>IF(Leads!AA53="","",Leads!AA53)</f>
        <v/>
      </c>
      <c r="V53" s="13">
        <f>IF(Leads!K53="","",Leads!K53)</f>
        <v/>
      </c>
    </row>
    <row r="54">
      <c r="A54" s="13">
        <f>IF(Leads!D54="","",Leads!D54)</f>
        <v/>
      </c>
      <c r="B54" s="13">
        <f>IF(Leads!I54="","",Leads!I54)</f>
        <v/>
      </c>
      <c r="C54" s="13">
        <f>IF(Leads!J54="","",Leads!J54)</f>
        <v/>
      </c>
      <c r="D54" s="13">
        <f>IF(OR(Leads!L54="",Leads!L54="Not found"),IF(OR(Leads!AR54="",Leads!AR54="Not found"),"",Leads!AR54),Leads!L54)</f>
        <v/>
      </c>
      <c r="E54" s="13">
        <f>IF(OR(Leads!O54="",Leads!O54="Not found"),Leads!P54,Leads!O54)</f>
        <v/>
      </c>
      <c r="F54" s="13">
        <f>IF(Leads!H54="","",Leads!H54)</f>
        <v/>
      </c>
      <c r="G54" s="13">
        <f>IF(Leads!AQ54="","",Leads!AQ54)</f>
        <v/>
      </c>
      <c r="H54" s="13">
        <f>IF(Leads!AS54="","",Leads!AS54)</f>
        <v/>
      </c>
      <c r="I54" s="13">
        <f>IF(Leads!S54="","",Leads!S54)</f>
        <v/>
      </c>
      <c r="J54" s="13">
        <f>IF(Leads!T54="","",Leads!T54)</f>
        <v/>
      </c>
      <c r="K54" s="13">
        <f>IF(Leads!AT54="","",Leads!AT54)</f>
        <v/>
      </c>
      <c r="L54" s="13" t="inlineStr">
        <is>
          <t>cold-outreach:lead-machine</t>
        </is>
      </c>
      <c r="M54" s="13">
        <f>IF(Leads!H54="","","cold-outreach,lead-machine,status:drafted,industry:"&amp;LOWER(SUBSTITUTE(SUBSTITUTE(SUBSTITUTE(TRIM(Leads!Q54)," ","-"),"/","-"),"&amp;","and"))&amp;",city:"&amp;LOWER(SUBSTITUTE(TRIM(Leads!S54)," ","-"))&amp;",entry:"&amp;LOWER(SUBSTITUTE(TRIM(Leads!W54)," ","-"))&amp;",attitude:"&amp;LOWER(SUBSTITUTE(SUBSTITUTE(TRIM(Leads!V54)," ","-"),"/","-")))</f>
        <v/>
      </c>
      <c r="N54" s="13">
        <f>IF(Leads!A54="","",Leads!A54)</f>
        <v/>
      </c>
      <c r="O54" s="13">
        <f>IF(Leads!F54="","",Leads!F54)</f>
        <v/>
      </c>
      <c r="P54" s="13">
        <f>IF(Leads!V54="","",Leads!V54)</f>
        <v/>
      </c>
      <c r="Q54" s="13">
        <f>IF(Leads!W54="","",Leads!W54)</f>
        <v/>
      </c>
      <c r="R54" s="13">
        <f>IF(Leads!AO54="","",Leads!AO54)</f>
        <v/>
      </c>
      <c r="S54" s="13">
        <f>IF(Leads!U54="","",Leads!U54)</f>
        <v/>
      </c>
      <c r="T54" s="13">
        <f>IF(Leads!Z54="","",Leads!Z54)</f>
        <v/>
      </c>
      <c r="U54" s="13">
        <f>IF(Leads!AA54="","",Leads!AA54)</f>
        <v/>
      </c>
      <c r="V54" s="13">
        <f>IF(Leads!K54="","",Leads!K54)</f>
        <v/>
      </c>
    </row>
    <row r="55">
      <c r="A55" s="13">
        <f>IF(Leads!D55="","",Leads!D55)</f>
        <v/>
      </c>
      <c r="B55" s="13">
        <f>IF(Leads!I55="","",Leads!I55)</f>
        <v/>
      </c>
      <c r="C55" s="13">
        <f>IF(Leads!J55="","",Leads!J55)</f>
        <v/>
      </c>
      <c r="D55" s="13">
        <f>IF(OR(Leads!L55="",Leads!L55="Not found"),IF(OR(Leads!AR55="",Leads!AR55="Not found"),"",Leads!AR55),Leads!L55)</f>
        <v/>
      </c>
      <c r="E55" s="13">
        <f>IF(OR(Leads!O55="",Leads!O55="Not found"),Leads!P55,Leads!O55)</f>
        <v/>
      </c>
      <c r="F55" s="13">
        <f>IF(Leads!H55="","",Leads!H55)</f>
        <v/>
      </c>
      <c r="G55" s="13">
        <f>IF(Leads!AQ55="","",Leads!AQ55)</f>
        <v/>
      </c>
      <c r="H55" s="13">
        <f>IF(Leads!AS55="","",Leads!AS55)</f>
        <v/>
      </c>
      <c r="I55" s="13">
        <f>IF(Leads!S55="","",Leads!S55)</f>
        <v/>
      </c>
      <c r="J55" s="13">
        <f>IF(Leads!T55="","",Leads!T55)</f>
        <v/>
      </c>
      <c r="K55" s="13">
        <f>IF(Leads!AT55="","",Leads!AT55)</f>
        <v/>
      </c>
      <c r="L55" s="13" t="inlineStr">
        <is>
          <t>cold-outreach:lead-machine</t>
        </is>
      </c>
      <c r="M55" s="13">
        <f>IF(Leads!H55="","","cold-outreach,lead-machine,status:drafted,industry:"&amp;LOWER(SUBSTITUTE(SUBSTITUTE(SUBSTITUTE(TRIM(Leads!Q55)," ","-"),"/","-"),"&amp;","and"))&amp;",city:"&amp;LOWER(SUBSTITUTE(TRIM(Leads!S55)," ","-"))&amp;",entry:"&amp;LOWER(SUBSTITUTE(TRIM(Leads!W55)," ","-"))&amp;",attitude:"&amp;LOWER(SUBSTITUTE(SUBSTITUTE(TRIM(Leads!V55)," ","-"),"/","-")))</f>
        <v/>
      </c>
      <c r="N55" s="13">
        <f>IF(Leads!A55="","",Leads!A55)</f>
        <v/>
      </c>
      <c r="O55" s="13">
        <f>IF(Leads!F55="","",Leads!F55)</f>
        <v/>
      </c>
      <c r="P55" s="13">
        <f>IF(Leads!V55="","",Leads!V55)</f>
        <v/>
      </c>
      <c r="Q55" s="13">
        <f>IF(Leads!W55="","",Leads!W55)</f>
        <v/>
      </c>
      <c r="R55" s="13">
        <f>IF(Leads!AO55="","",Leads!AO55)</f>
        <v/>
      </c>
      <c r="S55" s="13">
        <f>IF(Leads!U55="","",Leads!U55)</f>
        <v/>
      </c>
      <c r="T55" s="13">
        <f>IF(Leads!Z55="","",Leads!Z55)</f>
        <v/>
      </c>
      <c r="U55" s="13">
        <f>IF(Leads!AA55="","",Leads!AA55)</f>
        <v/>
      </c>
      <c r="V55" s="13">
        <f>IF(Leads!K55="","",Leads!K55)</f>
        <v/>
      </c>
    </row>
    <row r="56">
      <c r="A56" s="13">
        <f>IF(Leads!D56="","",Leads!D56)</f>
        <v/>
      </c>
      <c r="B56" s="13">
        <f>IF(Leads!I56="","",Leads!I56)</f>
        <v/>
      </c>
      <c r="C56" s="13">
        <f>IF(Leads!J56="","",Leads!J56)</f>
        <v/>
      </c>
      <c r="D56" s="13">
        <f>IF(OR(Leads!L56="",Leads!L56="Not found"),IF(OR(Leads!AR56="",Leads!AR56="Not found"),"",Leads!AR56),Leads!L56)</f>
        <v/>
      </c>
      <c r="E56" s="13">
        <f>IF(OR(Leads!O56="",Leads!O56="Not found"),Leads!P56,Leads!O56)</f>
        <v/>
      </c>
      <c r="F56" s="13">
        <f>IF(Leads!H56="","",Leads!H56)</f>
        <v/>
      </c>
      <c r="G56" s="13">
        <f>IF(Leads!AQ56="","",Leads!AQ56)</f>
        <v/>
      </c>
      <c r="H56" s="13">
        <f>IF(Leads!AS56="","",Leads!AS56)</f>
        <v/>
      </c>
      <c r="I56" s="13">
        <f>IF(Leads!S56="","",Leads!S56)</f>
        <v/>
      </c>
      <c r="J56" s="13">
        <f>IF(Leads!T56="","",Leads!T56)</f>
        <v/>
      </c>
      <c r="K56" s="13">
        <f>IF(Leads!AT56="","",Leads!AT56)</f>
        <v/>
      </c>
      <c r="L56" s="13" t="inlineStr">
        <is>
          <t>cold-outreach:lead-machine</t>
        </is>
      </c>
      <c r="M56" s="13">
        <f>IF(Leads!H56="","","cold-outreach,lead-machine,status:drafted,industry:"&amp;LOWER(SUBSTITUTE(SUBSTITUTE(SUBSTITUTE(TRIM(Leads!Q56)," ","-"),"/","-"),"&amp;","and"))&amp;",city:"&amp;LOWER(SUBSTITUTE(TRIM(Leads!S56)," ","-"))&amp;",entry:"&amp;LOWER(SUBSTITUTE(TRIM(Leads!W56)," ","-"))&amp;",attitude:"&amp;LOWER(SUBSTITUTE(SUBSTITUTE(TRIM(Leads!V56)," ","-"),"/","-")))</f>
        <v/>
      </c>
      <c r="N56" s="13">
        <f>IF(Leads!A56="","",Leads!A56)</f>
        <v/>
      </c>
      <c r="O56" s="13">
        <f>IF(Leads!F56="","",Leads!F56)</f>
        <v/>
      </c>
      <c r="P56" s="13">
        <f>IF(Leads!V56="","",Leads!V56)</f>
        <v/>
      </c>
      <c r="Q56" s="13">
        <f>IF(Leads!W56="","",Leads!W56)</f>
        <v/>
      </c>
      <c r="R56" s="13">
        <f>IF(Leads!AO56="","",Leads!AO56)</f>
        <v/>
      </c>
      <c r="S56" s="13">
        <f>IF(Leads!U56="","",Leads!U56)</f>
        <v/>
      </c>
      <c r="T56" s="13">
        <f>IF(Leads!Z56="","",Leads!Z56)</f>
        <v/>
      </c>
      <c r="U56" s="13">
        <f>IF(Leads!AA56="","",Leads!AA56)</f>
        <v/>
      </c>
      <c r="V56" s="13">
        <f>IF(Leads!K56="","",Leads!K56)</f>
        <v/>
      </c>
    </row>
    <row r="57">
      <c r="A57" s="13">
        <f>IF(Leads!D57="","",Leads!D57)</f>
        <v/>
      </c>
      <c r="B57" s="13">
        <f>IF(Leads!I57="","",Leads!I57)</f>
        <v/>
      </c>
      <c r="C57" s="13">
        <f>IF(Leads!J57="","",Leads!J57)</f>
        <v/>
      </c>
      <c r="D57" s="13">
        <f>IF(OR(Leads!L57="",Leads!L57="Not found"),IF(OR(Leads!AR57="",Leads!AR57="Not found"),"",Leads!AR57),Leads!L57)</f>
        <v/>
      </c>
      <c r="E57" s="13">
        <f>IF(OR(Leads!O57="",Leads!O57="Not found"),Leads!P57,Leads!O57)</f>
        <v/>
      </c>
      <c r="F57" s="13">
        <f>IF(Leads!H57="","",Leads!H57)</f>
        <v/>
      </c>
      <c r="G57" s="13">
        <f>IF(Leads!AQ57="","",Leads!AQ57)</f>
        <v/>
      </c>
      <c r="H57" s="13">
        <f>IF(Leads!AS57="","",Leads!AS57)</f>
        <v/>
      </c>
      <c r="I57" s="13">
        <f>IF(Leads!S57="","",Leads!S57)</f>
        <v/>
      </c>
      <c r="J57" s="13">
        <f>IF(Leads!T57="","",Leads!T57)</f>
        <v/>
      </c>
      <c r="K57" s="13">
        <f>IF(Leads!AT57="","",Leads!AT57)</f>
        <v/>
      </c>
      <c r="L57" s="13" t="inlineStr">
        <is>
          <t>cold-outreach:lead-machine</t>
        </is>
      </c>
      <c r="M57" s="13">
        <f>IF(Leads!H57="","","cold-outreach,lead-machine,status:drafted,industry:"&amp;LOWER(SUBSTITUTE(SUBSTITUTE(SUBSTITUTE(TRIM(Leads!Q57)," ","-"),"/","-"),"&amp;","and"))&amp;",city:"&amp;LOWER(SUBSTITUTE(TRIM(Leads!S57)," ","-"))&amp;",entry:"&amp;LOWER(SUBSTITUTE(TRIM(Leads!W57)," ","-"))&amp;",attitude:"&amp;LOWER(SUBSTITUTE(SUBSTITUTE(TRIM(Leads!V57)," ","-"),"/","-")))</f>
        <v/>
      </c>
      <c r="N57" s="13">
        <f>IF(Leads!A57="","",Leads!A57)</f>
        <v/>
      </c>
      <c r="O57" s="13">
        <f>IF(Leads!F57="","",Leads!F57)</f>
        <v/>
      </c>
      <c r="P57" s="13">
        <f>IF(Leads!V57="","",Leads!V57)</f>
        <v/>
      </c>
      <c r="Q57" s="13">
        <f>IF(Leads!W57="","",Leads!W57)</f>
        <v/>
      </c>
      <c r="R57" s="13">
        <f>IF(Leads!AO57="","",Leads!AO57)</f>
        <v/>
      </c>
      <c r="S57" s="13">
        <f>IF(Leads!U57="","",Leads!U57)</f>
        <v/>
      </c>
      <c r="T57" s="13">
        <f>IF(Leads!Z57="","",Leads!Z57)</f>
        <v/>
      </c>
      <c r="U57" s="13">
        <f>IF(Leads!AA57="","",Leads!AA57)</f>
        <v/>
      </c>
      <c r="V57" s="13">
        <f>IF(Leads!K57="","",Leads!K57)</f>
        <v/>
      </c>
    </row>
    <row r="58">
      <c r="A58" s="13">
        <f>IF(Leads!D58="","",Leads!D58)</f>
        <v/>
      </c>
      <c r="B58" s="13">
        <f>IF(Leads!I58="","",Leads!I58)</f>
        <v/>
      </c>
      <c r="C58" s="13">
        <f>IF(Leads!J58="","",Leads!J58)</f>
        <v/>
      </c>
      <c r="D58" s="13">
        <f>IF(OR(Leads!L58="",Leads!L58="Not found"),IF(OR(Leads!AR58="",Leads!AR58="Not found"),"",Leads!AR58),Leads!L58)</f>
        <v/>
      </c>
      <c r="E58" s="13">
        <f>IF(OR(Leads!O58="",Leads!O58="Not found"),Leads!P58,Leads!O58)</f>
        <v/>
      </c>
      <c r="F58" s="13">
        <f>IF(Leads!H58="","",Leads!H58)</f>
        <v/>
      </c>
      <c r="G58" s="13">
        <f>IF(Leads!AQ58="","",Leads!AQ58)</f>
        <v/>
      </c>
      <c r="H58" s="13">
        <f>IF(Leads!AS58="","",Leads!AS58)</f>
        <v/>
      </c>
      <c r="I58" s="13">
        <f>IF(Leads!S58="","",Leads!S58)</f>
        <v/>
      </c>
      <c r="J58" s="13">
        <f>IF(Leads!T58="","",Leads!T58)</f>
        <v/>
      </c>
      <c r="K58" s="13">
        <f>IF(Leads!AT58="","",Leads!AT58)</f>
        <v/>
      </c>
      <c r="L58" s="13" t="inlineStr">
        <is>
          <t>cold-outreach:lead-machine</t>
        </is>
      </c>
      <c r="M58" s="13">
        <f>IF(Leads!H58="","","cold-outreach,lead-machine,status:drafted,industry:"&amp;LOWER(SUBSTITUTE(SUBSTITUTE(SUBSTITUTE(TRIM(Leads!Q58)," ","-"),"/","-"),"&amp;","and"))&amp;",city:"&amp;LOWER(SUBSTITUTE(TRIM(Leads!S58)," ","-"))&amp;",entry:"&amp;LOWER(SUBSTITUTE(TRIM(Leads!W58)," ","-"))&amp;",attitude:"&amp;LOWER(SUBSTITUTE(SUBSTITUTE(TRIM(Leads!V58)," ","-"),"/","-")))</f>
        <v/>
      </c>
      <c r="N58" s="13">
        <f>IF(Leads!A58="","",Leads!A58)</f>
        <v/>
      </c>
      <c r="O58" s="13">
        <f>IF(Leads!F58="","",Leads!F58)</f>
        <v/>
      </c>
      <c r="P58" s="13">
        <f>IF(Leads!V58="","",Leads!V58)</f>
        <v/>
      </c>
      <c r="Q58" s="13">
        <f>IF(Leads!W58="","",Leads!W58)</f>
        <v/>
      </c>
      <c r="R58" s="13">
        <f>IF(Leads!AO58="","",Leads!AO58)</f>
        <v/>
      </c>
      <c r="S58" s="13">
        <f>IF(Leads!U58="","",Leads!U58)</f>
        <v/>
      </c>
      <c r="T58" s="13">
        <f>IF(Leads!Z58="","",Leads!Z58)</f>
        <v/>
      </c>
      <c r="U58" s="13">
        <f>IF(Leads!AA58="","",Leads!AA58)</f>
        <v/>
      </c>
      <c r="V58" s="13">
        <f>IF(Leads!K58="","",Leads!K58)</f>
        <v/>
      </c>
    </row>
    <row r="59">
      <c r="A59" s="13">
        <f>IF(Leads!D59="","",Leads!D59)</f>
        <v/>
      </c>
      <c r="B59" s="13">
        <f>IF(Leads!I59="","",Leads!I59)</f>
        <v/>
      </c>
      <c r="C59" s="13">
        <f>IF(Leads!J59="","",Leads!J59)</f>
        <v/>
      </c>
      <c r="D59" s="13">
        <f>IF(OR(Leads!L59="",Leads!L59="Not found"),IF(OR(Leads!AR59="",Leads!AR59="Not found"),"",Leads!AR59),Leads!L59)</f>
        <v/>
      </c>
      <c r="E59" s="13">
        <f>IF(OR(Leads!O59="",Leads!O59="Not found"),Leads!P59,Leads!O59)</f>
        <v/>
      </c>
      <c r="F59" s="13">
        <f>IF(Leads!H59="","",Leads!H59)</f>
        <v/>
      </c>
      <c r="G59" s="13">
        <f>IF(Leads!AQ59="","",Leads!AQ59)</f>
        <v/>
      </c>
      <c r="H59" s="13">
        <f>IF(Leads!AS59="","",Leads!AS59)</f>
        <v/>
      </c>
      <c r="I59" s="13">
        <f>IF(Leads!S59="","",Leads!S59)</f>
        <v/>
      </c>
      <c r="J59" s="13">
        <f>IF(Leads!T59="","",Leads!T59)</f>
        <v/>
      </c>
      <c r="K59" s="13">
        <f>IF(Leads!AT59="","",Leads!AT59)</f>
        <v/>
      </c>
      <c r="L59" s="13" t="inlineStr">
        <is>
          <t>cold-outreach:lead-machine</t>
        </is>
      </c>
      <c r="M59" s="13">
        <f>IF(Leads!H59="","","cold-outreach,lead-machine,status:drafted,industry:"&amp;LOWER(SUBSTITUTE(SUBSTITUTE(SUBSTITUTE(TRIM(Leads!Q59)," ","-"),"/","-"),"&amp;","and"))&amp;",city:"&amp;LOWER(SUBSTITUTE(TRIM(Leads!S59)," ","-"))&amp;",entry:"&amp;LOWER(SUBSTITUTE(TRIM(Leads!W59)," ","-"))&amp;",attitude:"&amp;LOWER(SUBSTITUTE(SUBSTITUTE(TRIM(Leads!V59)," ","-"),"/","-")))</f>
        <v/>
      </c>
      <c r="N59" s="13">
        <f>IF(Leads!A59="","",Leads!A59)</f>
        <v/>
      </c>
      <c r="O59" s="13">
        <f>IF(Leads!F59="","",Leads!F59)</f>
        <v/>
      </c>
      <c r="P59" s="13">
        <f>IF(Leads!V59="","",Leads!V59)</f>
        <v/>
      </c>
      <c r="Q59" s="13">
        <f>IF(Leads!W59="","",Leads!W59)</f>
        <v/>
      </c>
      <c r="R59" s="13">
        <f>IF(Leads!AO59="","",Leads!AO59)</f>
        <v/>
      </c>
      <c r="S59" s="13">
        <f>IF(Leads!U59="","",Leads!U59)</f>
        <v/>
      </c>
      <c r="T59" s="13">
        <f>IF(Leads!Z59="","",Leads!Z59)</f>
        <v/>
      </c>
      <c r="U59" s="13">
        <f>IF(Leads!AA59="","",Leads!AA59)</f>
        <v/>
      </c>
      <c r="V59" s="13">
        <f>IF(Leads!K59="","",Leads!K59)</f>
        <v/>
      </c>
    </row>
    <row r="60">
      <c r="A60" s="13">
        <f>IF(Leads!D60="","",Leads!D60)</f>
        <v/>
      </c>
      <c r="B60" s="13">
        <f>IF(Leads!I60="","",Leads!I60)</f>
        <v/>
      </c>
      <c r="C60" s="13">
        <f>IF(Leads!J60="","",Leads!J60)</f>
        <v/>
      </c>
      <c r="D60" s="13">
        <f>IF(OR(Leads!L60="",Leads!L60="Not found"),IF(OR(Leads!AR60="",Leads!AR60="Not found"),"",Leads!AR60),Leads!L60)</f>
        <v/>
      </c>
      <c r="E60" s="13">
        <f>IF(OR(Leads!O60="",Leads!O60="Not found"),Leads!P60,Leads!O60)</f>
        <v/>
      </c>
      <c r="F60" s="13">
        <f>IF(Leads!H60="","",Leads!H60)</f>
        <v/>
      </c>
      <c r="G60" s="13">
        <f>IF(Leads!AQ60="","",Leads!AQ60)</f>
        <v/>
      </c>
      <c r="H60" s="13">
        <f>IF(Leads!AS60="","",Leads!AS60)</f>
        <v/>
      </c>
      <c r="I60" s="13">
        <f>IF(Leads!S60="","",Leads!S60)</f>
        <v/>
      </c>
      <c r="J60" s="13">
        <f>IF(Leads!T60="","",Leads!T60)</f>
        <v/>
      </c>
      <c r="K60" s="13">
        <f>IF(Leads!AT60="","",Leads!AT60)</f>
        <v/>
      </c>
      <c r="L60" s="13" t="inlineStr">
        <is>
          <t>cold-outreach:lead-machine</t>
        </is>
      </c>
      <c r="M60" s="13">
        <f>IF(Leads!H60="","","cold-outreach,lead-machine,status:drafted,industry:"&amp;LOWER(SUBSTITUTE(SUBSTITUTE(SUBSTITUTE(TRIM(Leads!Q60)," ","-"),"/","-"),"&amp;","and"))&amp;",city:"&amp;LOWER(SUBSTITUTE(TRIM(Leads!S60)," ","-"))&amp;",entry:"&amp;LOWER(SUBSTITUTE(TRIM(Leads!W60)," ","-"))&amp;",attitude:"&amp;LOWER(SUBSTITUTE(SUBSTITUTE(TRIM(Leads!V60)," ","-"),"/","-")))</f>
        <v/>
      </c>
      <c r="N60" s="13">
        <f>IF(Leads!A60="","",Leads!A60)</f>
        <v/>
      </c>
      <c r="O60" s="13">
        <f>IF(Leads!F60="","",Leads!F60)</f>
        <v/>
      </c>
      <c r="P60" s="13">
        <f>IF(Leads!V60="","",Leads!V60)</f>
        <v/>
      </c>
      <c r="Q60" s="13">
        <f>IF(Leads!W60="","",Leads!W60)</f>
        <v/>
      </c>
      <c r="R60" s="13">
        <f>IF(Leads!AO60="","",Leads!AO60)</f>
        <v/>
      </c>
      <c r="S60" s="13">
        <f>IF(Leads!U60="","",Leads!U60)</f>
        <v/>
      </c>
      <c r="T60" s="13">
        <f>IF(Leads!Z60="","",Leads!Z60)</f>
        <v/>
      </c>
      <c r="U60" s="13">
        <f>IF(Leads!AA60="","",Leads!AA60)</f>
        <v/>
      </c>
      <c r="V60" s="13">
        <f>IF(Leads!K60="","",Leads!K60)</f>
        <v/>
      </c>
    </row>
    <row r="61">
      <c r="A61" s="13">
        <f>IF(Leads!D61="","",Leads!D61)</f>
        <v/>
      </c>
      <c r="B61" s="13">
        <f>IF(Leads!I61="","",Leads!I61)</f>
        <v/>
      </c>
      <c r="C61" s="13">
        <f>IF(Leads!J61="","",Leads!J61)</f>
        <v/>
      </c>
      <c r="D61" s="13">
        <f>IF(OR(Leads!L61="",Leads!L61="Not found"),IF(OR(Leads!AR61="",Leads!AR61="Not found"),"",Leads!AR61),Leads!L61)</f>
        <v/>
      </c>
      <c r="E61" s="13">
        <f>IF(OR(Leads!O61="",Leads!O61="Not found"),Leads!P61,Leads!O61)</f>
        <v/>
      </c>
      <c r="F61" s="13">
        <f>IF(Leads!H61="","",Leads!H61)</f>
        <v/>
      </c>
      <c r="G61" s="13">
        <f>IF(Leads!AQ61="","",Leads!AQ61)</f>
        <v/>
      </c>
      <c r="H61" s="13">
        <f>IF(Leads!AS61="","",Leads!AS61)</f>
        <v/>
      </c>
      <c r="I61" s="13">
        <f>IF(Leads!S61="","",Leads!S61)</f>
        <v/>
      </c>
      <c r="J61" s="13">
        <f>IF(Leads!T61="","",Leads!T61)</f>
        <v/>
      </c>
      <c r="K61" s="13">
        <f>IF(Leads!AT61="","",Leads!AT61)</f>
        <v/>
      </c>
      <c r="L61" s="13" t="inlineStr">
        <is>
          <t>cold-outreach:lead-machine</t>
        </is>
      </c>
      <c r="M61" s="13">
        <f>IF(Leads!H61="","","cold-outreach,lead-machine,status:drafted,industry:"&amp;LOWER(SUBSTITUTE(SUBSTITUTE(SUBSTITUTE(TRIM(Leads!Q61)," ","-"),"/","-"),"&amp;","and"))&amp;",city:"&amp;LOWER(SUBSTITUTE(TRIM(Leads!S61)," ","-"))&amp;",entry:"&amp;LOWER(SUBSTITUTE(TRIM(Leads!W61)," ","-"))&amp;",attitude:"&amp;LOWER(SUBSTITUTE(SUBSTITUTE(TRIM(Leads!V61)," ","-"),"/","-")))</f>
        <v/>
      </c>
      <c r="N61" s="13">
        <f>IF(Leads!A61="","",Leads!A61)</f>
        <v/>
      </c>
      <c r="O61" s="13">
        <f>IF(Leads!F61="","",Leads!F61)</f>
        <v/>
      </c>
      <c r="P61" s="13">
        <f>IF(Leads!V61="","",Leads!V61)</f>
        <v/>
      </c>
      <c r="Q61" s="13">
        <f>IF(Leads!W61="","",Leads!W61)</f>
        <v/>
      </c>
      <c r="R61" s="13">
        <f>IF(Leads!AO61="","",Leads!AO61)</f>
        <v/>
      </c>
      <c r="S61" s="13">
        <f>IF(Leads!U61="","",Leads!U61)</f>
        <v/>
      </c>
      <c r="T61" s="13">
        <f>IF(Leads!Z61="","",Leads!Z61)</f>
        <v/>
      </c>
      <c r="U61" s="13">
        <f>IF(Leads!AA61="","",Leads!AA61)</f>
        <v/>
      </c>
      <c r="V61" s="13">
        <f>IF(Leads!K61="","",Leads!K61)</f>
        <v/>
      </c>
    </row>
    <row r="63">
      <c r="A63" s="2" t="inlineStr">
        <is>
          <t>How to export: filter column A (Review Decision) to Approve, then File → Download → CSV. Import that CSV in GHL (Contacts → Import). Columns map 1:1 to GHL fields; Tags are comma-separated.</t>
        </is>
      </c>
    </row>
  </sheetData>
  <autoFilter ref="A1:V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2026-10-14T01:13:27Z</dcterms:created>
  <dcterms:modified xmlns:dcterms="http://purl.org/dc/terms/" xmlns:xsi="http://www.w3.org/2001/XMLSchema-instance" xsi:type="dcterms:W3CDTF">2026-10-14T01:13:27Z</dcterms:modified>
</cp:coreProperties>
</file>