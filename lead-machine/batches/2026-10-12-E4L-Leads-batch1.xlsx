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sheets/sheet3.xml" ContentType="application/vnd.openxmlformats-officedocument.spreadsheetml.worksheet+xml"/>
  <Override PartName="/xl/comments/comment2.xml" ContentType="application/vnd.openxmlformats-officedocument.spreadsheetml.comments+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Sam Call Sheet" sheetId="2" state="visible" r:id="rId2"/>
    <sheet xmlns:r="http://schemas.openxmlformats.org/officeDocument/2006/relationships" name="Leads" sheetId="3" state="visible" r:id="rId3"/>
    <sheet xmlns:r="http://schemas.openxmlformats.org/officeDocument/2006/relationships" name="GHL Import" sheetId="4" state="visible" r:id="rId4"/>
  </sheets>
  <definedNames>
    <definedName name="_xlnm._FilterDatabase" localSheetId="1" hidden="1">'Sam Call Sheet'!$A$1:$AF$31</definedName>
    <definedName name="_xlnm._FilterDatabase" localSheetId="2" hidden="1">'Leads'!$A$1:$BT$61</definedName>
    <definedName name="_xlnm._FilterDatabase" localSheetId="3" hidden="1">'GHL Import'!$A$1:$V$61</definedName>
  </definedNames>
  <calcPr calcId="124519" fullCalcOnLoad="1"/>
</workbook>
</file>

<file path=xl/styles.xml><?xml version="1.0" encoding="utf-8"?>
<styleSheet xmlns="http://schemas.openxmlformats.org/spreadsheetml/2006/main">
  <numFmts count="1">
    <numFmt numFmtId="164" formatCode="yyyy-mm-dd"/>
  </numFmts>
  <fonts count="7">
    <font>
      <name val="Calibri"/>
      <family val="2"/>
      <color theme="1"/>
      <sz val="11"/>
      <scheme val="minor"/>
    </font>
    <font>
      <name val="Arial"/>
      <b val="1"/>
      <sz val="14"/>
    </font>
    <font>
      <name val="Arial"/>
      <i val="1"/>
      <color rgb="00555555"/>
      <sz val="9"/>
    </font>
    <font>
      <name val="Arial"/>
      <b val="1"/>
      <sz val="11"/>
    </font>
    <font>
      <name val="Arial"/>
      <sz val="10"/>
    </font>
    <font>
      <name val="Arial"/>
      <color rgb="000000FF"/>
      <sz val="10"/>
    </font>
    <font>
      <name val="Arial"/>
      <b val="1"/>
      <color rgb="00000000"/>
      <sz val="10"/>
    </font>
  </fonts>
  <fills count="3">
    <fill>
      <patternFill/>
    </fill>
    <fill>
      <patternFill patternType="gray125"/>
    </fill>
    <fill>
      <patternFill patternType="solid">
        <fgColor rgb="00FFC200"/>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4">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4" fillId="2" borderId="0" applyAlignment="1" pivotButton="0" quotePrefix="0" xfId="0">
      <alignment vertical="top" wrapText="1"/>
    </xf>
    <xf numFmtId="0" fontId="5" fillId="0" borderId="0" applyAlignment="1" pivotButton="0" quotePrefix="0" xfId="0">
      <alignment vertical="top" wrapText="1"/>
    </xf>
    <xf numFmtId="0" fontId="6" fillId="2" borderId="1" applyAlignment="1" pivotButton="0" quotePrefix="0" xfId="0">
      <alignment vertical="center" wrapText="1"/>
    </xf>
    <xf numFmtId="0" fontId="4" fillId="0" borderId="1" applyAlignment="1" pivotButton="0" quotePrefix="0" xfId="0">
      <alignment vertical="top" wrapText="1"/>
    </xf>
    <xf numFmtId="164" fontId="5" fillId="0" borderId="1" applyAlignment="1" pivotButton="0" quotePrefix="0" xfId="0">
      <alignment vertical="top" wrapText="1"/>
    </xf>
    <xf numFmtId="0" fontId="5" fillId="0" borderId="1" applyAlignment="1" pivotButton="0" quotePrefix="0" xfId="0">
      <alignment vertical="top" wrapText="1"/>
    </xf>
    <xf numFmtId="164" fontId="4" fillId="0" borderId="1" applyAlignment="1" pivotButton="0" quotePrefix="0" xfId="0">
      <alignment vertical="top" wrapText="1"/>
    </xf>
    <xf numFmtId="0" fontId="5" fillId="0" borderId="0" pivotButton="0" quotePrefix="0" xfId="0"/>
    <xf numFmtId="0" fontId="4" fillId="0" borderId="0" pivotButton="0" quotePrefix="0" xfId="0"/>
  </cellXfs>
  <cellStyles count="1">
    <cellStyle name="Normal" xfId="0" builtinId="0" hidden="0"/>
  </cellStyles>
  <dxfs count="3">
    <dxf>
      <fill>
        <patternFill patternType="solid">
          <fgColor rgb="00C6EFCE"/>
        </patternFill>
      </fill>
    </dxf>
    <dxf>
      <fill>
        <patternFill patternType="solid">
          <fgColor rgb="00FFEB9C"/>
        </patternFill>
      </fill>
    </dxf>
    <dxf>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comments/comment1.xml><?xml version="1.0" encoding="utf-8"?>
<comments xmlns="http://schemas.openxmlformats.org/spreadsheetml/2006/main">
  <authors>
    <author>E4L Lead Machine</author>
  </authors>
  <commentList>
    <comment ref="E1" authorId="0" shapeId="0">
      <text>
        <t>Owner's direct line when published, otherwise the company line</t>
      </text>
    </comment>
    <comment ref="AA1" authorId="0" shapeId="0">
      <text>
        <t>Computed: call 1 today, call 2 after 2 days, call 3 after 3 more; 'Done' once booked, email captured, not interested, or do-not-call</t>
      </text>
    </comment>
    <comment ref="AB1" authorId="0" shapeId="0">
      <text>
        <t>The address they gave for the free GEO audit</t>
      </text>
    </comment>
  </commentList>
</comments>
</file>

<file path=xl/comments/comment2.xml><?xml version="1.0" encoding="utf-8"?>
<comments xmlns="http://schemas.openxmlformats.org/spreadsheetml/2006/main">
  <authors>
    <author>E4L Lead Machine</author>
  </authors>
  <commentList>
    <comment ref="A1" authorId="0" shapeId="0">
      <text>
        <t>YYYYMMDD-NN, unique forever</t>
      </text>
    </comment>
    <comment ref="D1" authorId="0" shapeId="0">
      <text>
        <t>YOU fill this. Approve = goes to GHL Import tab filter.</t>
      </text>
    </comment>
    <comment ref="E1" authorId="0" shapeId="0">
      <text>
        <t>YOU update as you work the lead.</t>
      </text>
    </comment>
    <comment ref="F1" authorId="0" shapeId="0">
      <text>
        <t>0–100 from the Scoring Rubric tab</t>
      </text>
    </comment>
    <comment ref="G1" authorId="0" shapeId="0">
      <text>
        <t>Formula from Lead Score</t>
      </text>
    </comment>
    <comment ref="L1" authorId="0" shapeId="0">
      <text>
        <t>Only emails found on a public page. 'Not found' is honest.</t>
      </text>
    </comment>
    <comment ref="U1" authorId="0" shapeId="0">
      <text>
        <t>One line: why this lead, why this week</t>
      </text>
    </comment>
    <comment ref="V1" authorId="0" shapeId="0">
      <text>
        <t>See Attitude Guide tab</t>
      </text>
    </comment>
    <comment ref="W1" authorId="0" shapeId="0">
      <text>
        <t>Per Chosen's Service–Industry Matrix</t>
      </text>
    </comment>
    <comment ref="X1" authorId="0" shapeId="0">
      <text>
        <t>Internal only — never quoted in outreach</t>
      </text>
    </comment>
    <comment ref="Z1" authorId="0" shapeId="0">
      <text>
        <t>Opening sentence of the cold email</t>
      </text>
    </comment>
    <comment ref="AA1" authorId="0" shapeId="0">
      <text>
        <t>For Sam / Chosen on the phone</t>
      </text>
    </comment>
    <comment ref="AC1" authorId="0" shapeId="0">
      <text>
        <t>Sam's permission-based opener, tailored to this lead</t>
      </text>
    </comment>
    <comment ref="AG1" authorId="0" shapeId="0">
      <text>
        <t>Who answers the phone and how to reach the owner</t>
      </text>
    </comment>
    <comment ref="AH1" authorId="0" shapeId="0">
      <text>
        <t>The one thing to reference first</t>
      </text>
    </comment>
    <comment ref="BL1" authorId="0" shapeId="0">
      <text>
        <t>Named by ChatGPT/Perplexity for the money questions? (quick check)</t>
      </text>
    </comment>
    <comment ref="BN1" authorId="0" shapeId="0">
      <text>
        <t>Dimension: pts/weight — evidence</t>
      </text>
    </comment>
    <comment ref="BO1" authorId="0" shapeId="0">
      <text>
        <t>Every URL relied on</t>
      </text>
    </comment>
    <comment ref="BR1" authorId="0" shapeId="0">
      <text>
        <t>YOU: anything for Sam / Rozel</t>
      </text>
    </comment>
    <comment ref="BS1" authorId="0" shapeId="0">
      <text>
        <t>YOU: paste after import</t>
      </text>
    </comment>
    <comment ref="BT1" authorId="0" shapeId="0">
      <text>
        <t>YOU: date</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_rels/sheet3.xml.rels><Relationships xmlns="http://schemas.openxmlformats.org/package/2006/relationships"><Relationship Type="http://schemas.openxmlformats.org/officeDocument/2006/relationships/comments" Target="/xl/comments/comment2.xml" Id="comments"/><Relationship Type="http://schemas.openxmlformats.org/officeDocument/2006/relationships/vmlDrawing" Target="/xl/drawings/commentsDrawing2.vml" Id="anysvml"/></Relationships>
</file>

<file path=xl/worksheets/sheet1.xml><?xml version="1.0" encoding="utf-8"?>
<worksheet xmlns="http://schemas.openxmlformats.org/spreadsheetml/2006/main">
  <sheetPr>
    <outlinePr summaryBelow="1" summaryRight="1"/>
    <pageSetUpPr/>
  </sheetPr>
  <dimension ref="A1:A35"/>
  <sheetViews>
    <sheetView workbookViewId="0">
      <selection activeCell="A1" sqref="A1"/>
    </sheetView>
  </sheetViews>
  <sheetFormatPr baseColWidth="8" defaultRowHeight="15"/>
  <cols>
    <col width="120" customWidth="1" min="1" max="1"/>
  </cols>
  <sheetData>
    <row r="1">
      <c r="A1" s="1" t="inlineStr">
        <is>
          <t>E4L Leads — daily batch</t>
        </is>
      </c>
    </row>
    <row r="2">
      <c r="A2" s="2" t="inlineStr">
        <is>
          <t>Eat 4 Life Marketing · AI Marketing Made Easy · built by Claude, reviewed by humans</t>
        </is>
      </c>
    </row>
    <row r="4">
      <c r="A4" s="3" t="inlineStr">
        <is>
          <t>What this is</t>
        </is>
      </c>
    </row>
    <row r="5">
      <c r="A5" s="4" t="inlineStr">
        <is>
          <t>The review sheet for E4L's daily lead machine. Claude finds, qualifies, and researches 25 small-business leads per weekday and writes them here. Sam works the Sam Call Sheet tab (calls + follow-ups); Chosen reviews the Leads tab, approves, and loads approved rows into GoHighLevel (E4L Services sub-account). Nothing is emailed or called from this sheet itself.</t>
        </is>
      </c>
    </row>
    <row r="6">
      <c r="A6" s="4" t="inlineStr">
        <is>
          <t>Daily batches arrive as dated sheets in the same Drive folder ('E4L Leads — YYYY-MM-DD'). This master file holds the playbook tabs, the suppression list, and the run log so the whole system is readable in one place.</t>
        </is>
      </c>
    </row>
    <row r="8">
      <c r="A8" s="3" t="inlineStr">
        <is>
          <t>Sam: working the Call Sheet</t>
        </is>
      </c>
    </row>
    <row r="9">
      <c r="A9" s="4" t="inlineStr">
        <is>
          <t>Open the Sam Call Sheet tab. Rows are sorted by Lead Score; every row has the best number, the owner's name and title, the timezone and best time to call, who answers the phone, a 20-second opener written for that business, the call angle, and the objection to expect.</t>
        </is>
      </c>
    </row>
    <row r="10">
      <c r="A10" s="4" t="inlineStr">
        <is>
          <t>Cadence: Call 1 on the day the batch lands (use Best Time to Call). Call 2 two days later, leave a voicemail. Call 3 three days after that. Then the email bridge. 'Next Call Due' computes itself from what you log.</t>
        </is>
      </c>
    </row>
    <row r="11">
      <c r="A11" s="4" t="inlineStr">
        <is>
          <t>Log every call the same day with the outcome dropdowns. Every call ends with ask #1 (Game Plan Call → log 'Game Plan Call booked' and the date) or ask #2 (email for the free GEO audit → log 'Email captured' and paste the address). 'Do not call' is permanent — those companies go on the Suppression tab.</t>
        </is>
      </c>
    </row>
    <row r="13">
      <c r="A13" s="3" t="inlineStr">
        <is>
          <t>Chosen / Rozel: daily review in 5 steps (≈30 minutes for 25 rows)</t>
        </is>
      </c>
    </row>
    <row r="14">
      <c r="A14" s="4" t="inlineStr">
        <is>
          <t>1. Open the Leads tab (full research). Rows are sorted by Lead Score. Read Why Now, Attitude Type, Pain Signals, and the Personalized First Line.</t>
        </is>
      </c>
    </row>
    <row r="15">
      <c r="A15" s="4" t="inlineStr">
        <is>
          <t>2. Set Review Decision: Approve (load into GHL), Hold (good but not now), Reject (wrong fit — tell us why in Reviewer Notes so the rubric learns).</t>
        </is>
      </c>
    </row>
    <row r="16">
      <c r="A16" s="4" t="inlineStr">
        <is>
          <t>3. Skim Owner Email Confidence. 'Confirmed' = seen on their own site/profile. 'Likely' = public but indirect. 'Not found' = call it (Sam) or use the generic inbox.</t>
        </is>
      </c>
    </row>
    <row r="17">
      <c r="A17" s="4" t="inlineStr">
        <is>
          <t>4. Go to the GHL Import tab, filter column A to Approve, File → Download → CSV, then Contacts → Import in GHL. Map the columns 1:1 (the LM* columns are custom fields — create them once in GHL as single-line text, or skip them and paste the row into a contact note).</t>
        </is>
      </c>
    </row>
    <row r="18">
      <c r="A18" s="4" t="inlineStr">
        <is>
          <t>5. Set Status to 'Loaded to GHL' and paste the GHL Contact ID. The daily run reads this file's Suppression and Seen lists so nobody is pitched twice.</t>
        </is>
      </c>
    </row>
    <row r="20">
      <c r="A20" s="3" t="inlineStr">
        <is>
          <t>How to read the scores</t>
        </is>
      </c>
    </row>
    <row r="21">
      <c r="A21" s="4" t="inlineStr">
        <is>
          <t>Lead Score is 0–100 against the Scoring Rubric tab (weights sum to 100). Score Band: A (80+) send today · B (60–79) worth a touch · C (40–59) hold · D (&lt;40) reject. Hard disqualifiers (chains, franchises, no website, closed, already using an AI receptionist) never make it into the sheet.</t>
        </is>
      </c>
    </row>
    <row r="22">
      <c r="A22" s="4" t="inlineStr">
        <is>
          <t>Research Confidence tells you how much public evidence existed. A High-confidence 70 beats a Low-confidence 85.</t>
        </is>
      </c>
    </row>
    <row r="23">
      <c r="A23" s="4" t="inlineStr">
        <is>
          <t>Attitude Type is the bot's read of how the owner thinks (see the Attitude Guide tab) and drives the Call Angle and the first line. 'Unclear' means not enough public signal — lead with the demo, not the pitch.</t>
        </is>
      </c>
    </row>
    <row r="25">
      <c r="A25" s="3" t="inlineStr">
        <is>
          <t>What the bot will never do</t>
        </is>
      </c>
    </row>
    <row r="26">
      <c r="A26" s="4" t="inlineStr">
        <is>
          <t>Invent or pattern-guess an email, phone, or name (blank or 'Not found' instead). Use anything behind a login or paywall. Promise results, rankings, or revenue in any suggested copy. Quote prices. Re-pitch anyone on the Suppression tab or on an earlier batch.</t>
        </is>
      </c>
    </row>
    <row r="28">
      <c r="A28" s="3" t="inlineStr">
        <is>
          <t>Changing the machine</t>
        </is>
      </c>
    </row>
    <row r="29">
      <c r="A29" s="4" t="inlineStr">
        <is>
          <t>Add a company to the Suppression tab to block it forever. Add or edit rows on the Niche Playbook tab to change what gets chased (the daily run reads it). Reject reasons in Reviewer Notes are read on the next run.</t>
        </is>
      </c>
    </row>
    <row r="30">
      <c r="A30" s="4" t="inlineStr">
        <is>
          <t>Source files, playbooks, and the daily operator prompt live in the E4Lmarketing repo under lead-machine/.</t>
        </is>
      </c>
    </row>
    <row r="32">
      <c r="A32" s="3" t="inlineStr">
        <is>
          <t>Legend</t>
        </is>
      </c>
    </row>
    <row r="33">
      <c r="A33" s="5" t="inlineStr">
        <is>
          <t>Yellow header — Column written by the bot (do not rename — the prompt's output schema uses these exact names).</t>
        </is>
      </c>
    </row>
    <row r="34">
      <c r="A34" s="6" t="inlineStr">
        <is>
          <t>Blue text — Cells YOU fill in during review (Review Decision, Reviewer Notes, GHL Contact ID, Loaded to GHL).</t>
        </is>
      </c>
    </row>
    <row r="35">
      <c r="A35" s="4" t="inlineStr">
        <is>
          <t>Green / amber / red score — Score band: 80–100 send today · 60–79 worth a touch · below 60 hold or reject.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F33"/>
  <sheetViews>
    <sheetView workbookViewId="0">
      <pane xSplit="3" ySplit="1" topLeftCell="D2" activePane="bottomRight" state="frozen"/>
      <selection pane="topRight"/>
      <selection pane="bottomLeft"/>
      <selection pane="bottomRight" activeCell="A1" sqref="A1"/>
    </sheetView>
  </sheetViews>
  <sheetFormatPr baseColWidth="8" defaultRowHeight="15"/>
  <cols>
    <col width="13" customWidth="1" min="1" max="1"/>
    <col width="26" customWidth="1" min="2" max="2"/>
    <col width="18" customWidth="1" min="3" max="3"/>
    <col width="14" customWidth="1" min="4" max="4"/>
    <col width="17" customWidth="1" min="5" max="5"/>
    <col width="17" customWidth="1" min="6" max="6"/>
    <col width="13" customWidth="1" min="7" max="7"/>
    <col width="5" customWidth="1" min="8" max="8"/>
    <col width="7" customWidth="1" min="9" max="9"/>
    <col width="28" customWidth="1" min="10" max="10"/>
    <col width="20" customWidth="1" min="11" max="11"/>
    <col width="30" customWidth="1" min="12" max="12"/>
    <col width="7" customWidth="1" min="13" max="13"/>
    <col width="20" customWidth="1" min="14" max="14"/>
    <col width="20" customWidth="1" min="15" max="15"/>
    <col width="55" customWidth="1" min="16" max="16"/>
    <col width="45" customWidth="1" min="17" max="17"/>
    <col width="36" customWidth="1" min="18" max="18"/>
    <col width="36" customWidth="1" min="19" max="19"/>
    <col width="26" customWidth="1" min="20" max="20"/>
    <col width="11" customWidth="1" min="21" max="21"/>
    <col width="22" customWidth="1" min="22" max="22"/>
    <col width="11" customWidth="1" min="23" max="23"/>
    <col width="22" customWidth="1" min="24" max="24"/>
    <col width="11" customWidth="1" min="25" max="25"/>
    <col width="22" customWidth="1" min="26" max="26"/>
    <col width="12" customWidth="1" min="27" max="27"/>
    <col width="26" customWidth="1" min="28" max="28"/>
    <col width="14" customWidth="1" min="29" max="29"/>
    <col width="40" customWidth="1" min="30" max="30"/>
    <col width="28" customWidth="1" min="31" max="31"/>
    <col width="26" customWidth="1" min="32" max="32"/>
  </cols>
  <sheetData>
    <row r="1" ht="32" customHeight="1">
      <c r="A1" s="7" t="inlineStr">
        <is>
          <t>Lead ID</t>
        </is>
      </c>
      <c r="B1" s="7" t="inlineStr">
        <is>
          <t>Company</t>
        </is>
      </c>
      <c r="C1" s="7" t="inlineStr">
        <is>
          <t>Owner</t>
        </is>
      </c>
      <c r="D1" s="7" t="inlineStr">
        <is>
          <t>Title</t>
        </is>
      </c>
      <c r="E1" s="7" t="inlineStr">
        <is>
          <t>Best Number to Call</t>
        </is>
      </c>
      <c r="F1" s="7" t="inlineStr">
        <is>
          <t>Company Phone</t>
        </is>
      </c>
      <c r="G1" s="7" t="inlineStr">
        <is>
          <t>City</t>
        </is>
      </c>
      <c r="H1" s="7" t="inlineStr">
        <is>
          <t>ST</t>
        </is>
      </c>
      <c r="I1" s="7" t="inlineStr">
        <is>
          <t>TZ</t>
        </is>
      </c>
      <c r="J1" s="7" t="inlineStr">
        <is>
          <t>Best Time to Call</t>
        </is>
      </c>
      <c r="K1" s="7" t="inlineStr">
        <is>
          <t>Business Hours</t>
        </is>
      </c>
      <c r="L1" s="7" t="inlineStr">
        <is>
          <t>Gatekeeper Notes</t>
        </is>
      </c>
      <c r="M1" s="7" t="inlineStr">
        <is>
          <t>Score</t>
        </is>
      </c>
      <c r="N1" s="7" t="inlineStr">
        <is>
          <t>Attitude</t>
        </is>
      </c>
      <c r="O1" s="7" t="inlineStr">
        <is>
          <t>Entry Offer</t>
        </is>
      </c>
      <c r="P1" s="7" t="inlineStr">
        <is>
          <t>Call Opener (20 sec)</t>
        </is>
      </c>
      <c r="Q1" s="7" t="inlineStr">
        <is>
          <t>Call Angle</t>
        </is>
      </c>
      <c r="R1" s="7" t="inlineStr">
        <is>
          <t>Likely Objection</t>
        </is>
      </c>
      <c r="S1" s="7" t="inlineStr">
        <is>
          <t>Best Opening Moment</t>
        </is>
      </c>
      <c r="T1" s="7" t="inlineStr">
        <is>
          <t>After-Hours Handling</t>
        </is>
      </c>
      <c r="U1" s="7" t="inlineStr">
        <is>
          <t>Call 1 Date</t>
        </is>
      </c>
      <c r="V1" s="7" t="inlineStr">
        <is>
          <t>Call 1 Outcome</t>
        </is>
      </c>
      <c r="W1" s="7" t="inlineStr">
        <is>
          <t>Call 2 Date</t>
        </is>
      </c>
      <c r="X1" s="7" t="inlineStr">
        <is>
          <t>Call 2 Outcome</t>
        </is>
      </c>
      <c r="Y1" s="7" t="inlineStr">
        <is>
          <t>Call 3 Date</t>
        </is>
      </c>
      <c r="Z1" s="7" t="inlineStr">
        <is>
          <t>Call 3 Outcome</t>
        </is>
      </c>
      <c r="AA1" s="7" t="inlineStr">
        <is>
          <t>Next Call Due</t>
        </is>
      </c>
      <c r="AB1" s="7" t="inlineStr">
        <is>
          <t>Email Captured</t>
        </is>
      </c>
      <c r="AC1" s="7" t="inlineStr">
        <is>
          <t>Game Plan Call Date</t>
        </is>
      </c>
      <c r="AD1" s="7" t="inlineStr">
        <is>
          <t>Sam Notes</t>
        </is>
      </c>
      <c r="AE1" s="7" t="inlineStr">
        <is>
          <t>Website</t>
        </is>
      </c>
      <c r="AF1" s="7" t="inlineStr">
        <is>
          <t>Owner Email</t>
        </is>
      </c>
    </row>
    <row r="2" ht="110" customHeight="1">
      <c r="A2" s="8" t="inlineStr">
        <is>
          <t>20261012-01</t>
        </is>
      </c>
      <c r="B2" s="8" t="inlineStr">
        <is>
          <t>Howard Injury Law</t>
        </is>
      </c>
      <c r="C2" s="8" t="inlineStr">
        <is>
          <t>Glen Howard</t>
        </is>
      </c>
      <c r="D2" s="8" t="inlineStr">
        <is>
          <t>Attorney</t>
        </is>
      </c>
      <c r="E2" s="8" t="inlineStr">
        <is>
          <t>Not found (a client review says Glen shared his personal cell, but no direct line is published; main line +1 702-331-5722, fax +1 702-629-7161 per site and NV Bar)</t>
        </is>
      </c>
      <c r="F2" s="8" t="inlineStr">
        <is>
          <t>+1 702-331-5722</t>
        </is>
      </c>
      <c r="G2" s="8" t="inlineStr">
        <is>
          <t>Las Vegas</t>
        </is>
      </c>
      <c r="H2" s="8" t="inlineStr">
        <is>
          <t>NV</t>
        </is>
      </c>
      <c r="I2" s="8" t="inlineStr">
        <is>
          <t>America/Los_Angeles - Pacific Time (PDT, UTC-7 in October); Las Vegas, NV</t>
        </is>
      </c>
      <c r="J2" s="8" t="inlineStr">
        <is>
          <t>Tue-Thu 9:00-10:30 AM PT, right after the office opens at 9 and before Glen is on adjuster calls/court (he negotiates every bodily-injury case personally per the site FAQ schema); fallback Tue-Thu 4:00-4:45 PM PT before the 5 PM close. Avoid Mondays (post-weekend intake pile-up for a 3-person case team). The main line is CallRail-tracked and staffed by the case team during 9-5; ask for Glen by first name.</t>
        </is>
      </c>
      <c r="K2" s="8" t="inlineStr">
        <is>
          <t>Office: 'Monday to Friday, 9AM to 5PM PST' (site contact block, https://www.howardinjurylaw.com/contact-us/ and footer). Same page/header also says 'Free Consultation · Available 24/7' and JSON-LD Attorney schema claims openingHours 'Mo,Tu,We,Th,Fr,Sa,Su 24/7' (00:00-23:59). Spanish page: 'De lunes a viernes, de 9:00 a 17:00 (hora del Pacifico)' vs 'Consulta gratuita las 24 horas, los 7 dias de la semana'. GBP hours not opened directly.</t>
        </is>
      </c>
      <c r="L2" s="8" t="inlineStr">
        <is>
          <t>Main line +1 702-331-5722 is the office line (CallRail dynamic-swap tracked); no receptionist is named anywhere. Case team per About page (https://www.howardinjurylaw.com/about-us/): James Martin (15+ yrs legal field, role not stated; several Google reviews on the site name James, one calls him the case manager), Vanessa Kitchen (20+ yrs medical field, 10+ yrs practice administrator and marketing - most likely the office/ops lead and the best internal champion), Nathalie Sanabria (case manager). No answering service, call center or AI receptionist is credited; after hours the only named channel is the Intaker chat/text widget ('our 24/7 chat below'; YouTube bio '24/7 Help: intaker.com/howardinjurylaw/pi'). A Google review on the site says 'I had the lawyers personal cell number' - the cell is NOT published; do not ask for it. If the team answers: 'Hi, is Glen in? It's Sam - it's about the 24/7 line on the website.' If Vanessa answers, pitch her as champion (she ran a medical-practice front desk) and ask for 15 minutes with Glen. Careers page is 404; no job posts found (Indeed blocked), so no receptionist hire to reference.</t>
        </is>
      </c>
      <c r="M2" s="8" t="n">
        <v>71</v>
      </c>
      <c r="N2" s="8" t="inlineStr">
        <is>
          <t>Growth-Minded Operator (secondary: Tech-Forward Early Adopter) - confidence medium</t>
        </is>
      </c>
      <c r="O2" s="8" t="inlineStr">
        <is>
          <t>Free GEO audit (Chosen's matrix entry for PI law) paired with a bilingual (English/Spanish) AI voice-receptionist demo line built from howardinjurylaw.com; lead product on the Game Plan Call = AI voice receptionist with empathetic no-advice intake + missed-call text-back / speed-to-lead; GEO as the add-on. No prices in any asset.</t>
        </is>
      </c>
      <c r="P2" s="8" t="inlineStr">
        <is>
          <t>"Hi Glen, this is Sam with Eat 4 Life Marketing - this is a cold call, so feel free to hang up on me. I was on howardinjurylaw.com last night: the header says 'Free Case Review, 24/7, Talk with Glen,' and your contact page says Monday to Friday, 9 to 5. When a crash victim calls at 9pm, or calls in Spanish, who picks up right now - you, voicemail, or nobody? We build an AI receptionist trained on your own site that answers those calls, does a no-advice intake in English or Spanish, and books the consult - and we put a demo line on the phone you can call before you pay a dollar. Can I take 20 seconds to tell you how it works, or should I just send the demo number to ghoward@?"</t>
        </is>
      </c>
      <c r="Q2" s="8" t="inlineStr">
        <is>
          <t>Missed-call / after-hours bilingual intake is the wedge; the free GEO audit is the door-opener. Acknowledge he already pays for calls (CallRail tracking, Meta pixel, an ads agency) and that the site promises 24/7 in four languages with one attorney and three staff on a 9-to-5 office line. E4L's receptionist, trained on his own site, answers every missed or after-hours call, runs an empathetic intake (date of injury, treatment, insurer, no legal advice) in English or Spanish, books the consult, and texts back every missed call in under a minute - the caller never reaches the next firm on Google. Proof lever: a demo line built from howardinjurylaw.com he can call before paying anything. Respect his Intaker chat: it handles web chat/text, not the ringing phone. Never promise case volume or outcomes.</t>
        </is>
      </c>
      <c r="R2" s="8" t="inlineStr">
        <is>
          <t>'We're already covered 24/7 - we have Intaker chat and texting, and clients can reach me on my cell.' Answer: chat and text catch the people who type; the voice agent catches the ones who dial at 9pm and get voicemail, and it drops them into the same intake - go-live is one conditional call-forwarding rule on missed/busy calls. Second objection: 'We already have an agency (Storm Media) doing SEO and GEO' - the audit is free, show the screenshots, do not bash the agency; pivot to the phone. Third (PI-specific): 'I get pitched by marketing guys every day' - lead with the demo number and one verifiable observation, not a pitch.</t>
        </is>
      </c>
      <c r="S2" s="8" t="inlineStr">
        <is>
          <t>The 24/7 promise on a one-attorney firm: homepage 'Free Case Review - 24/7 Talk with Glen!' and 'we're available 24/7 at (702) 331-5722' vs the contact block 'Monday to Friday, 9AM to 5PM PST' (https://www.howardinjurylaw.com/ and /contact-us/). Neutral, verifiable in 10 seconds, ties straight to the after-hours/bilingual intake gap. Secondary: his own 'we trained there' insurance-defense angle - he sells on knowing the other side's playbook, so frame E4L as showing him the caller's side of the phone.</t>
        </is>
      </c>
      <c r="T2" s="8" t="inlineStr">
        <is>
          <t>Site claims 'Available 24/7', 'Free Case Review - 24/7 Talk with Glen!' and 'Give us a call, we're available 24/7 at (702) 331-5722' while the contact block lists office hours 'Monday to Friday, 9AM to 5PM PST'. No answering service, call center or AI receptionist is named on the site, in page source, on BBB or on YouTube. The only named 24/7 channel is the Intaker chat/text widget ('fill out our simple form or our 24/7 chat below'; YouTube bio '24/7 Help: https://www.intaker.com/howardinjurylaw/pi') - chat/SMS, not phone. A client review on the site says 'I had the lawyers personal cell number', suggesting after-hours calls fall to Glen's own cell. GBP hours not opened directly.</t>
        </is>
      </c>
      <c r="U2" s="9" t="inlineStr"/>
      <c r="V2" s="10" t="inlineStr"/>
      <c r="W2" s="9" t="inlineStr"/>
      <c r="X2" s="10" t="inlineStr"/>
      <c r="Y2" s="9" t="inlineStr"/>
      <c r="Z2" s="10" t="inlineStr"/>
      <c r="AA2" s="11">
        <f>IF(A2="","",IF(OR(V2="Game Plan Call booked",V2="Do not call",V2="Not interested",V2="Email captured (GEO audit)",X2="Game Plan Call booked",X2="Do not call",X2="Not interested",X2="Email captured (GEO audit)",Y2&lt;&gt;""),"Done",IF(W2&lt;&gt;"",W2+3,IF(U2&lt;&gt;"",U2+2,"Call today"))))</f>
        <v/>
      </c>
      <c r="AB2" s="10" t="inlineStr"/>
      <c r="AC2" s="9" t="inlineStr"/>
      <c r="AD2" s="10" t="inlineStr"/>
      <c r="AE2" s="8" t="inlineStr">
        <is>
          <t>https://www.howardinjurylaw.com</t>
        </is>
      </c>
      <c r="AF2" s="8" t="inlineStr">
        <is>
          <t>ghoward@howardinjurylaw.com</t>
        </is>
      </c>
    </row>
    <row r="3" ht="110" customHeight="1">
      <c r="A3" s="8" t="inlineStr">
        <is>
          <t>20261012-02</t>
        </is>
      </c>
      <c r="B3" s="8" t="inlineStr">
        <is>
          <t>Viking Heating &amp; Air Conditioning</t>
        </is>
      </c>
      <c r="C3" s="8" t="inlineStr">
        <is>
          <t>Nicole Bridge</t>
        </is>
      </c>
      <c r="D3" s="8" t="inlineStr">
        <is>
          <t>Owner / Member</t>
        </is>
      </c>
      <c r="E3" s="8" t="inlineStr">
        <is>
          <t>+1 480-689-5167</t>
        </is>
      </c>
      <c r="F3" s="8" t="inlineStr">
        <is>
          <t>+1 480-689-5167</t>
        </is>
      </c>
      <c r="G3" s="8" t="inlineStr">
        <is>
          <t>Chandler</t>
        </is>
      </c>
      <c r="H3" s="8" t="inlineStr">
        <is>
          <t>AZ</t>
        </is>
      </c>
      <c r="I3" s="8" t="inlineStr">
        <is>
          <t>AZ (Arizona, MST year-round, no DST; same clock as Los Angeles until Nov 1, 2026, then one hour ahead of LA)</t>
        </is>
      </c>
      <c r="J3" s="8" t="inlineStr">
        <is>
          <t>Tue-Thu 7:30-8:30 AM AZ (same as LA time until Nov 1): a one-office shop builds the day's dispatch board then, and with the dispatcher seat open the person on the main line is most likely Nikki (Member/Owner, registered agent, office side) rather than a hired gatekeeper. Second window Tue-Thu 4:00-5:30 PM AZ when Kelly (HVAC Tech/Owner) is back from the field. Avoid 9 AM-3 PM, when the line is fielding same-day no-cool calls during fall tune-up season, and avoid Mondays (weekend backlog) and Friday afternoons.</t>
        </is>
      </c>
      <c r="K3" s="8" t="inlineStr">
        <is>
          <t>No office hours published on viking-hvac.com, the careers page or BBB. Homepage and blog JSON-LD say open 00:00-23:59 Mon-Sun, and the Google Business Profile mirror (serviceagent.ai) shows 'Open 24 hours' every day with a 'Direct line - speak to a representative'; the site markets '24/7 emergency service' with 'emergency technicians always on call'. In practice it is a one-office shop whose dispatcher role is 'full-time, in-person' running a daily board, so treat the office as weekday daytime (roughly 7 AM-5 PM AZ) with the 24/7 line layered on top.</t>
        </is>
      </c>
      <c r="L3" s="8" t="inlineStr">
        <is>
          <t>Main line 480-689-5167 is the only number anywhere (site header, contact page, careers page, BBB, BuildZoom); CallRail is in the site code but the number matches every third-party record, so it is the real line, not a swapped tracking number. No office manager, receptionist, dispatcher or answering-service name is public, and the HVAC Dispatcher seat is currently open (full-time, in-person), so expect Nikki/Nicole Bridge or whoever is covering the board to pick up; no third-party answering service is mentioned anywhere. Kelly Bridge is 'HVAC Tech./Owner' and in the field - do not expect him midday. Ask for 'Nikki' (their own careers page uses that name; BBB has 'Nicole E. Bridge'). If a tech or fill-in answers: 'Is Nikki in the office this morning? It's about the dispatcher opening on your careers page' - true and specific. Their careers page brags 'Decisions made by people you actually know - Nikki and Kelly - not a call center in another state', so position the demo as backup for after hours and busy lines, never as replacing the dispatcher. No owner cell published; no 'no solicitation' notice seen. Second touch only: info@viking-hvac.com (generic, from their JSON-LD) addressed to Nikki or Kelly. Do not cite the Oct 2025 commercial-expansion press release (now 404); a tech named Logan Bridge appears in a recent review - do not assume a family relation.</t>
        </is>
      </c>
      <c r="M3" s="8" t="n">
        <v>69</v>
      </c>
      <c r="N3" s="8" t="inlineStr">
        <is>
          <t>Growth-Minded Operator</t>
        </is>
      </c>
      <c r="O3" s="8" t="inlineStr">
        <is>
          <t>Voice AI live demo built from viking-hvac.com (DEMO PATH, call-first to Sam with the demo number; email to info@ only as a gatekeeper-friendly second touch), framed on heating-season tune-up volume and the open dispatcher seat; add missed-call text-back. Do not lead with GEO - FAQ schema and an active blog already exist.</t>
        </is>
      </c>
      <c r="P3" s="8" t="inlineStr">
        <is>
          <t>Nikki? Sam with Eat 4 Life Marketing out of LA - and this is a cold call, so feel free to hang up on me. I was on Viking's careers page: you're hiring a dispatcher to run the daily board while the site promises 24/7 emergency service across 36 cities. We built a receptionist demo trained on viking-hvac.com that picks up the no-cool calls that ring while your dispatcher is on another line or after the office clears out, and books them. Can I take twenty seconds to tell you how it works, and you decide if it's worth a longer look?</t>
        </is>
      </c>
      <c r="Q3" s="8" t="inlineStr">
        <is>
          <t>Nikki, you're hiring a dispatcher at $21-25 an hour and telling 36 cities you're there 24/7. We built a receptionist demo from viking-hvac.com you can call right now: it picks up the calls that ring while your dispatcher is on another line or after hours, qualifies the no-cool emergency, and books it so nothing waits for the morning. Go-live is one call-forwarding rule for missed and busy calls, rollback is one dial code, and it can hand bookings to your existing Service Fusion setup.</t>
        </is>
      </c>
      <c r="R3" s="8" t="inlineStr">
        <is>
          <t>'We run Service Fusion and we're hiring a dispatcher - we're covered.' Answer: keep both; this only takes the calls that would otherwise hit voicemail (busy, after hours, weekends) and hands the booking back to your dispatcher, so nothing changes for the team during the day - call the demo and judge it yourself before anything is bought.</t>
        </is>
      </c>
      <c r="S3" s="8" t="inlineStr">
        <is>
          <t>The live 'HVAC Dispatcher' post ($21-25/hr, 'running the daily dispatch board') paired with the careers line 'Decisions made by people you actually know - Nikki and Kelly - not a call center in another state' (https://blog.viking-hvac.com/careers, seen 2026-10-12): they are hiring for the phone seat and proud that calls stay local, which is exactly the after-hours gap the demo covers without replacing anyone.</t>
        </is>
      </c>
      <c r="T3" s="8" t="inlineStr">
        <is>
          <t>Unknown who answers after hours. Site claims: 'available 24/7' (repairs), 'we provide 24/7 emergency HVAC services throughout our entire service area' (FAQ), 'same-day service available for urgent situations'; homepage JSON-LD OpeningHoursSpecification Mon-Sun opens 00:00 closes 23:59; ServiceAgent mirror of GBP: 'Open 24 hours' every day (not verified on Google directly). No visible business hours on the site. No answering service, call center, or AI receptionist mentioned anywhere on site or in page source. Careers: 'not a call center in another state'; the dispatcher role is in-person and 'runs the daily dispatch board' (daytime). Gap = 24/7 promise with no stated after-hours answering mechanism.</t>
        </is>
      </c>
      <c r="U3" s="9" t="inlineStr"/>
      <c r="V3" s="10" t="inlineStr"/>
      <c r="W3" s="9" t="inlineStr"/>
      <c r="X3" s="10" t="inlineStr"/>
      <c r="Y3" s="9" t="inlineStr"/>
      <c r="Z3" s="10" t="inlineStr"/>
      <c r="AA3" s="11">
        <f>IF(A3="","",IF(OR(V3="Game Plan Call booked",V3="Do not call",V3="Not interested",V3="Email captured (GEO audit)",X3="Game Plan Call booked",X3="Do not call",X3="Not interested",X3="Email captured (GEO audit)",Y3&lt;&gt;""),"Done",IF(W3&lt;&gt;"",W3+3,IF(U3&lt;&gt;"",U3+2,"Call today"))))</f>
        <v/>
      </c>
      <c r="AB3" s="10" t="inlineStr"/>
      <c r="AC3" s="9" t="inlineStr"/>
      <c r="AD3" s="10" t="inlineStr"/>
      <c r="AE3" s="8" t="inlineStr">
        <is>
          <t>https://www.viking-hvac.com/</t>
        </is>
      </c>
      <c r="AF3" s="8" t="inlineStr">
        <is>
          <t>info@viking-hvac.com (generic office mailbox; present only in the company's JSON-LD page source on blog.viking-hvac.com and blog.viking-hvac.com/careers, not as visible text; no owner-personal email found on any public page)</t>
        </is>
      </c>
    </row>
    <row r="4" ht="110" customHeight="1">
      <c r="A4" s="8" t="inlineStr">
        <is>
          <t>20261012-03</t>
        </is>
      </c>
      <c r="B4" s="8" t="inlineStr">
        <is>
          <t>Bob Heinmiller Air Conditioning, Inc.</t>
        </is>
      </c>
      <c r="C4" s="8" t="inlineStr">
        <is>
          <t>Mark Derringer</t>
        </is>
      </c>
      <c r="D4" s="8" t="inlineStr">
        <is>
          <t>Owner/President</t>
        </is>
      </c>
      <c r="E4" s="8" t="inlineStr">
        <is>
          <t>Not found (no owner cell or direct line on site, BBB, Carrier, or reviews; only the main line, fax, and the alternate 407-422-7657 office number)</t>
        </is>
      </c>
      <c r="F4" s="8" t="inlineStr">
        <is>
          <t>+1 407-374-0779 (site header 'Hotline', footer, BBB, DispatchCore). Also published: fax +1 407-422-0790; alternate +1 407-422-7657 (contact-page meta description 'Call Us Today' and Experience.com contact number); Carrier dealer page lists +1 321-319-3980 (different number on Carrier's locator - do not assume it reaches the office)</t>
        </is>
      </c>
      <c r="G4" s="8" t="inlineStr">
        <is>
          <t>Orlando</t>
        </is>
      </c>
      <c r="H4" s="8" t="inlineStr">
        <is>
          <t>FL</t>
        </is>
      </c>
      <c r="I4" s="8" t="inlineStr">
        <is>
          <t>America/New_York (Eastern)</t>
        </is>
      </c>
      <c r="J4" s="8" t="inlineStr">
        <is>
          <t>Tue-Thu 8:00-8:30 AM ET (Florida telemarketing floor is 8 AM; call before trucks roll and before the office queue builds - an Aug 11, 2026 public review says a morning caller was told 'she'd have to call me back this afternoon'). Fallback 4:00-5:00 PM ET when installs wrap. Ask for Mark Derringer (Owner/President) by name; if out, ask for Linda Heinmiller (Owner/Corp. Secretary). A 2023 review says the owner did not return four calls, so expect to book a time rather than get him live.</t>
        </is>
      </c>
      <c r="K4" s="8" t="inlineStr">
        <is>
          <t>Site publishes NO hours anywhere; only 'Same day and 24/7 emergency service available' and 'You can receive same-day care from a qualified expert 24 hours a day throughout the week' (https://www.bobheinmiller.com/). Google data mirrored by DispatchCore and YellowPages: 'Open 24 hours' Monday-Sunday (listing unclaimed). Sister entity Bob Heinmiller Solar Solutions (1519 W Smith St, same owners) lists Mon-Fri 8:00 AM-5:00 PM, closed Sat-Sun (Birdeye, TrustAnalytica). serviceagent.ai (Google data): 'After-hours and emergency response isn't signaled on the public profile.'</t>
        </is>
      </c>
      <c r="L4" s="8" t="inlineStr">
        <is>
          <t>Main line +1 407-374-0779 is answered by office staff, not the owner: Aug 11, 2026 review - 'I call for ac service this morning and the young lady said she'd have to call me back this afternoon' (https://www.solarreviews.com/installers/bob-heinmiller-solar-solutions,-llc.-reviews); a Jan 19, 2023 review on the solar entity names an office staffer 'Ashley' promising a callback 'within the hour' (STALE, role not stated). No office manager or dispatcher named on the site or in reviews; 'Meet Our Staff' lists only Bob Heinmiller (Founder), Linda Heinmiller (Owner/Corp. Secretary), Mark Derringer (Owner/President). Field names in reviews: techs Tyler, Chris; comfort advisor/sales Patrick Liner; installers Michael, Anthony. No answering service, call center, or AI receptionist vendor in page source. No owner cell published. Employment page lists 'Administrative' as an application category (no confirmed opening). Get through by asking for 'Mark Derringer' or 'Linda' by name and offering to book a 20-minute slot rather than pitching the person who answers.</t>
        </is>
      </c>
      <c r="M4" s="8" t="n">
        <v>69</v>
      </c>
      <c r="N4" s="8" t="inlineStr">
        <is>
          <t>Family-Legacy Pride Brand (primary); Growth-Minded Operator (secondary). Confidence: high (5+ signals across site, press, BBB, job boards).</t>
        </is>
      </c>
      <c r="O4" s="8" t="inlineStr">
        <is>
          <t>Voice AI live demo built from bobheinmiller.com (after-hours and overflow coverage on the hotline, booking into their process), framed as protecting a three-generation name - never as replacing office staff. Secondary ask: the free AI-visibility audit ('named in 0 of 3 so far; full 28-answer run on request'). Route: call-first (Sam) with the demo number; service@ email as backup with gatekeeper-friendly copy. demo_build = yes (D2 &gt;= 9, site scrapable); run_geo_audit = yes (D4 = 6).</t>
        </is>
      </c>
      <c r="P4" s="8" t="inlineStr">
        <is>
          <t>"Hi, this is Sam with Eat 4 Life Marketing - this is a cold call, so feel free to hang up on me. I'm trying to reach Mark Derringer. The reason I'm calling: your homepage promises same-day, 24/7 service, but the '24/7 Call Service Support' button actually sends people to a web form, and one of your August reviews describes a morning caller being pushed to an afternoon callback. We build an AI receptionist trained on Bob Heinmiller's own site that picks up every call that rings out after hours or when the office is slammed, qualifies the caller, and books the visit - and you can call a demo line we build from your website before you pay anything. Can I take 20 seconds to tell you how it would work for a three-generation shop like yours, and you tell me if it's worth a longer conversation?"</t>
        </is>
      </c>
      <c r="Q4" s="8" t="inlineStr">
        <is>
          <t>Family-legacy protection + after-hours/overflow relief. Reference the 1945 roots and the July 2026 award, then the neutral observation that the homepage promises same-day/24-7 but the '24/7 Call Service Support' button lands on a web form and a recent public review describes a morning call deferred to an afternoon callback (summarize as a pattern; never quote the reviewer). Offer: a demo line trained on Bob Heinmiller's own site that answers what already rings out, qualifies the caller (name, number, address, no-cool vs. maintenance, urgency) and books the visit; go-live is one conditional call-forwarding rule, rollback is one dial code; nothing to pay before they hear it. Close with ask #1 (20-minute Game Plan Call with Sebastian) or ask #2 (an email address for the free AI-search audit - note they are not named for Orlando money questions in the checks run so far while AC's Heating &amp; Air, Belle Air, and Aire Serv are).</t>
        </is>
      </c>
      <c r="R4" s="8" t="inlineStr">
        <is>
          <t>'We already offer 24/7 service and our office handles the phones' / 'We've been here 36 years, referrals are our marketing' (Mark's own words: 'There is no better accolade or recognition than a business referral'). Answer: it only takes the calls that already ring out or get a 'we'll call you back' - referral callers still have to get through; the receptionist is trained on their story so callers still reach 'Bob Heinmiller'; office staff keep every call they answer; conditional forwarding only, no change to the number. Secondary objection: vendor fatigue / 'we have a marketing company' (Orange Rock Media builds the site; E4L is not a web or SEO replacement).</t>
        </is>
      </c>
      <c r="S4" s="8" t="inlineStr">
        <is>
          <t>The July 24, 2026 blog post 'Bob Heinmiller Solar Solutions named a 2026 Top Solar Contractor' (https://www.bobheinmiller.com/blog/) - a dated win within 90 days, safe to congratulate, and it pairs with the three-generation story. Then pivot to the neutral phone-process observation (site promises 24/7; the '24/7 Call Service Support' button goes to a web form).</t>
        </is>
      </c>
      <c r="T4" s="8" t="inlineStr">
        <is>
          <t>claims_24_7, coverage unverified. Site: 'Same day and 24/7 emergency service available' and '24/7 Call Service Support' (button links to /contact-us/ web form, not a phone line). Google data via unclaimed mirrors: 'Open 24 hours' Mon-Sun. No answering-service, call-center, or AI-receptionist vendor in page source. Sister solar entity lists Mon-Fri 8-5 only. Aug 11, 2026 review shows daytime calls being deferred to callbacks. Sam should record who answers on the first dial.</t>
        </is>
      </c>
      <c r="U4" s="9" t="inlineStr"/>
      <c r="V4" s="10" t="inlineStr"/>
      <c r="W4" s="9" t="inlineStr"/>
      <c r="X4" s="10" t="inlineStr"/>
      <c r="Y4" s="9" t="inlineStr"/>
      <c r="Z4" s="10" t="inlineStr"/>
      <c r="AA4" s="11">
        <f>IF(A4="","",IF(OR(V4="Game Plan Call booked",V4="Do not call",V4="Not interested",V4="Email captured (GEO audit)",X4="Game Plan Call booked",X4="Do not call",X4="Not interested",X4="Email captured (GEO audit)",Y4&lt;&gt;""),"Done",IF(W4&lt;&gt;"",W4+3,IF(U4&lt;&gt;"",U4+2,"Call today"))))</f>
        <v/>
      </c>
      <c r="AB4" s="10" t="inlineStr"/>
      <c r="AC4" s="9" t="inlineStr"/>
      <c r="AD4" s="10" t="inlineStr"/>
      <c r="AE4" s="8" t="inlineStr">
        <is>
          <t>https://www.bobheinmiller.com</t>
        </is>
      </c>
      <c r="AF4" s="8" t="inlineStr">
        <is>
          <t>Not found</t>
        </is>
      </c>
    </row>
    <row r="5" ht="110" customHeight="1">
      <c r="A5" s="8" t="inlineStr">
        <is>
          <t>20261012-04</t>
        </is>
      </c>
      <c r="B5" s="8" t="inlineStr">
        <is>
          <t>Appalachian Tree Service of Atlanta, Inc.</t>
        </is>
      </c>
      <c r="C5" s="8" t="inlineStr">
        <is>
          <t>Ryan Strache</t>
        </is>
      </c>
      <c r="D5" s="8" t="inlineStr">
        <is>
          <t>President/Owner</t>
        </is>
      </c>
      <c r="E5" s="8" t="inlineStr">
        <is>
          <t>Not found (only the main line +1 404-409-9926 is published on site, BBB and Nextdoor; line type not stated, do not text)</t>
        </is>
      </c>
      <c r="F5" s="8" t="inlineStr">
        <is>
          <t>+1 404-409-9926</t>
        </is>
      </c>
      <c r="G5" s="8" t="inlineStr">
        <is>
          <t>Kennesaw</t>
        </is>
      </c>
      <c r="H5" s="8" t="inlineStr">
        <is>
          <t>GA</t>
        </is>
      </c>
      <c r="I5" s="8" t="inlineStr">
        <is>
          <t>America/New_York (Eastern Time)</t>
        </is>
      </c>
      <c r="J5" s="8" t="inlineStr">
        <is>
          <t>Tue–Thu 4:15–5:00 PM ET — the last 45 minutes of his posted Mon–Fri 9–5 window, when a climber-led crew is off the tree and the site says requests are reviewed 'during our stated operating hours'; fallback Mon–Fri 9:00–9:30 AM ET right at opening before the crew rolls. Do not call outside 9–5 ET (closed; voicemail only).</t>
        </is>
      </c>
      <c r="K5" s="8" t="inlineStr">
        <is>
          <t>Mon–Fri 9:00 AM–5:00 PM; Sat–Sun Closed for normal operations (contact page, JSON-LD OpeningHoursSpecification, Nextdoor). EXCEPTION on the 48 /storm-damage/{city} pages: 'Weekend calls are accepted for urgent storm inquiries and estimates. No after-hours nighttime dispatch.' Google Business Profile not opened directly.</t>
        </is>
      </c>
      <c r="L5" s="8" t="inlineStr">
        <is>
          <t>No office manager, dispatcher or answering service is named anywhere (site, BBB, Nextdoor; no vendor scripts in source). The only mailbox is ryan@, and a Nextdoor reviewer refers to 'Ryan and his staff', so the main line +1 404-409-9926 most likely rings to Ryan or straight to voicemail during a job. Ask for Ryan by first name; if a crew member answers, ask when Ryan reviews estimate requests (site says during 9–5) and call back then. Line type not published — manual dial only, no SMS. If voicemail: leave name, 'built a demo line for Appalachian Tree Service', and let Sebastian's email carry it.</t>
        </is>
      </c>
      <c r="M5" s="8" t="n">
        <v>68</v>
      </c>
      <c r="N5" s="8" t="inlineStr">
        <is>
          <t>Growth-Minded Operator (medium confidence: 4 signals across 2 source categories - website + third-party profiles); secondary: Overwhelmed Owner-Operator</t>
        </is>
      </c>
      <c r="O5" s="8" t="inlineStr">
        <is>
          <t>Voice AI live demo built from appalachiantreeservice.com (generic home-services template: trade = tree service; scenario = tree down on the house after a storm at 9 PM; the AI qualifies the caller, captures address/damage details and books the first-morning assessment - no nighttime dispatch promised) + missed-call text-back. demo_build = yes (phone-first, D2 = 15, site scrapes cleanly). run_geo_audit = after D4 spot-check.</t>
        </is>
      </c>
      <c r="P5" s="8" t="inlineStr">
        <is>
          <t>Hi Ryan, this is Sam with Eat 4 Life Marketing — this is a cold call, so feel free to hang up on me. I was on your site this week: nice October hazard-tree special. I also noticed your storm-damage pages say there's no after-hours nighttime dispatch — which makes sense when you're the one in the tree. We build an AI receptionist trained on your own company that picks up the 9 PM storm call, gets the address and what came down, and books your first morning assessment — and we build the demo line from your website before you pay anything. Can I take 20 seconds to tell you how it works, or is this a bad time?</t>
        </is>
      </c>
      <c r="Q5" s="8" t="inlineStr">
        <is>
          <t>Relief + coverage, not growth: he is the climber, the estimator and the inbox, and he is paying to drive calls right now (October 10%-off hazard-tree promo, brand-new site, 48 storm-damage city pages added Sept 1) while evening calls go to voicemail. Pitch the storm-week scenario: an AI receptionist trained on his own site answers the after-hours and overflow calls, qualifies the caller (name, address, what fell, photos via the form link), and books the morning assessment — it never dispatches at night, it just keeps the lead. Proof lever: 'we already built a demo line from your website; call it before you pay a dollar.' Go-live = one conditional call-forwarding rule for missed/busy calls; rollback is one dial code. Ask #1: 20-minute Game Plan Call. Ask #2: the free AI visibility check once D4 runs. Keep it to 3 short lines; do not say he misses calls (reviews praise his response speed) and do NOT say weekends are uncovered (his storm pages accept weekend urgent calls) — say 'after 5 PM' / 'overnight'.</t>
        </is>
      </c>
      <c r="R5" s="8" t="inlineStr">
        <is>
          <t>'I'm a small climber-led crew and I don't do night work — I don't need more calls I can't handle.' Answer: the receptionist does not dispatch anything; it answers, captures the details and books the assessment into the next open morning so you choose the jobs instead of losing them to whoever picked up. Secondary: 'I just rebuilt the site / I handle the phone myself' — it only covers the calls that already go to voicemail, trained on that new site, nothing for you to set up beyond one forwarding rule. Budget sensitivity is likely (solo email, no office staff) — keep pricing for the Game Plan Call.</t>
        </is>
      </c>
      <c r="S5" s="8" t="inlineStr">
        <is>
          <t>The live October promotion: 'October Special • Active Oct 1 – Oct 31 — Don't Let Spooky Trees Haunt Your Home — Save 10% This October' on the newly relaunched site (https://www.appalachiantreeservice.com/, seen 2026-10-13). Dated, positive, business-specific and his own words; pairs naturally with 'every call that promo brings in after 5 PM currently waits until morning' (contact page: 'We review requests during our stated operating hours').</t>
        </is>
      </c>
      <c r="T5" s="8" t="inlineStr">
        <is>
          <t>No nighttime coverage claimed. Homepage Service JSON-LD: 'Storm-damage inquiries, assessment and cleanup ... during listed inquiry hours; no nighttime dispatch'. /storm-damage/kennesaw (and 47 sibling city pages, 2026-09-01): 'Storm inquiry hours Monday–Friday: 9:00 AM–5:00 PM for normal operations and dispatch. Saturday–Sunday: Weekend calls accepted for urgent storm inquiries and estimates. There is no after-hours nighttime dispatch.' Contact page: 'We review requests during our stated operating hours.' No 24/7 claim, answering service, AI receptionist or IVR vendor in page source. Gap to pitch = evenings/nights (after 5 PM), NOT weekends.</t>
        </is>
      </c>
      <c r="U5" s="9" t="inlineStr"/>
      <c r="V5" s="10" t="inlineStr"/>
      <c r="W5" s="9" t="inlineStr"/>
      <c r="X5" s="10" t="inlineStr"/>
      <c r="Y5" s="9" t="inlineStr"/>
      <c r="Z5" s="10" t="inlineStr"/>
      <c r="AA5" s="11">
        <f>IF(A5="","",IF(OR(V5="Game Plan Call booked",V5="Do not call",V5="Not interested",V5="Email captured (GEO audit)",X5="Game Plan Call booked",X5="Do not call",X5="Not interested",X5="Email captured (GEO audit)",Y5&lt;&gt;""),"Done",IF(W5&lt;&gt;"",W5+3,IF(U5&lt;&gt;"",U5+2,"Call today"))))</f>
        <v/>
      </c>
      <c r="AB5" s="10" t="inlineStr"/>
      <c r="AC5" s="9" t="inlineStr"/>
      <c r="AD5" s="10" t="inlineStr"/>
      <c r="AE5" s="8" t="inlineStr">
        <is>
          <t>https://www.appalachiantreeservice.com</t>
        </is>
      </c>
      <c r="AF5" s="8" t="inlineStr">
        <is>
          <t>ryan@appalachiantreeservice.com</t>
        </is>
      </c>
    </row>
    <row r="6" ht="110" customHeight="1">
      <c r="A6" s="8" t="inlineStr">
        <is>
          <t>20261012-05</t>
        </is>
      </c>
      <c r="B6" s="8" t="inlineStr">
        <is>
          <t>Blue Peaks Roofing LLC</t>
        </is>
      </c>
      <c r="C6" s="8" t="inlineStr">
        <is>
          <t>Andrew Ubben</t>
        </is>
      </c>
      <c r="D6" s="8" t="inlineStr">
        <is>
          <t>Owner</t>
        </is>
      </c>
      <c r="E6" s="8" t="inlineStr">
        <is>
          <t>+1 303-808-0687</t>
        </is>
      </c>
      <c r="F6" s="8" t="inlineStr">
        <is>
          <t>+1 303-808-0687</t>
        </is>
      </c>
      <c r="G6" s="8" t="inlineStr">
        <is>
          <t>Littleton</t>
        </is>
      </c>
      <c r="H6" s="8" t="inlineStr">
        <is>
          <t>CO</t>
        </is>
      </c>
      <c r="I6" s="8" t="inlineStr">
        <is>
          <t>MT</t>
        </is>
      </c>
      <c r="J6" s="8" t="inlineStr">
        <is>
          <t>Tue-Thu 8:00-8:45 AM MT, right at office open, before project consultants and crews head out to roofs (hours are 8-5 weekdays and the site funnel is callback-based, so the 303 line is most likely picked up by a live person first thing); fallback Tue-Thu 4:00-4:50 PM MT before the 5 PM close. Avoid Mondays (storm-claim backlog) and anything after 5 PM or weekends, which go to voicemail per the published hours.</t>
        </is>
      </c>
      <c r="K6" s="8" t="inlineStr">
        <is>
          <t>Mon-Fri 8:00 AM-5:00 PM, Sat-Sun closed (Parker Chamber member listing 'Mon-Fri - 8am - 5pm'; leadstal GBP mirror shows the same). Site itself lists no hours; it says emergency repairs are handled 'during normal business hours' and 'We call you back to set a time.'</t>
        </is>
      </c>
      <c r="L6" s="8" t="inlineStr">
        <is>
          <t>No office manager, dispatcher or receptionist is named anywhere (site, reviews, BBB, chamber, LinkedIn). The only number on the site, BBB, JSON-LD and PRs is (303) 808-0687; no answering service, call tracking or AI receptionist detected, and the site says 'We call you back to set a time,' so expect either whoever is at the desk 8-5 MT or voicemail. Ask for 'Andrew' (Andrew J. Ubben, BBB principal/Owner); if they say the owner is 'Mike' (Mike McCoy, named Owner in 2026 paid press releases), take the hand-off and confirm on the call who owns phones/marketing — do not insist on either name. Public side door: Alyssa McGuinnis, Project Consultant, cell (303) 882-2061 (Parker Chamber rep listing) — sales-side, useful to ask 'who handles the phones and marketing' but not to pitch as owner. Project-side staff named in reviews/LinkedIn (Benny Izquierdo, Grant, John Y., Michael G., Kaleb, Diego Martinez) — if one answers, they are on jobs, keep it to 'who handles after-hours calls and marketing?' and get a callback window. Mirror their line 'the claim stays yours — we never file claims for homeowners'; no claim-handling promises. Do not use (970) 410-3778 or (720) 202-1127 (stale). Do not repeat their unverified Team Dave Logan / Quality Business Awards claims.</t>
        </is>
      </c>
      <c r="M6" s="8" t="n">
        <v>66</v>
      </c>
      <c r="N6" s="8" t="inlineStr">
        <is>
          <t>Growth-Minded Operator (secondary: Tech-Forward Early Adopter) — confidence medium</t>
        </is>
      </c>
      <c r="O6" s="8" t="inlineStr">
        <is>
          <t>Voice AI live demo line built from bluepeaksroofing.com — after-hours/overflow receptionist that qualifies the caller (address, leak vs. hail, claim status) and books the free inspection — paired with missed-call text-back; Revenue Leak Scorecard as the email CTA (no links until warm-up clears); GEO audit as a later touch once the AI spot-check is run.</t>
        </is>
      </c>
      <c r="P6" s="8" t="inlineStr">
        <is>
          <t>Hi, this is Sam with Eat 4 Life Marketing — is this Andrew? Full disclosure, this is a cold call, so you're welcome to hang up on me. I saw Blue Peaks' LinkedIn post this week — a roof replacement shouldn't feel like 'radio silence until a dumpster shows up.' I also noticed your site says emergency repairs are business-hours only, and the Littleton homeowner who calls at 7 PM after a hailstorm is dialing the next roofer on Google. We built a demo receptionist from bluepeaksroofing.com that answers after-hours and overflow calls, asks the leak-or-hail and claim questions your consultants ask, and books the free inspection — you can call it and hear it before anyone talks money. Can I take 20 seconds to tell you how it works, and you tell me if it's worth a longer look?</t>
        </is>
      </c>
      <c r="Q6" s="8" t="inlineStr">
        <is>
          <t>Your site says emergency repairs happen during normal business hours and that you call people back to set a time — in hail season that callback window is exactly when a homeowner dials the next roofer who picks up. We built a demo receptionist from bluepeaksroofing.com that answers after hours and overflow calls, asks the leak-or-hail and insurance questions your consultants ask, and books the free inspection; you can call it and hear it before anyone talks money. Go-live is one conditional call-forwarding rule on missed calls and rollback is one dial code, so nothing about how your team works changes.</t>
        </is>
      </c>
      <c r="R6" s="8" t="inlineStr">
        <is>
          <t>"We already answer everything — communication is our whole brand, and we have a system (GHL form / marketing vendor)." Answer: keep all of it — this only catches the calls that already ring out after 5pm or while your consultants are on roofs, and books them into whatever you use today; hear the demo first and decide after.</t>
        </is>
      </c>
      <c r="S6" s="8" t="inlineStr">
        <is>
          <t>LinkedIn company post ~Oct 10, 2026 (shown as "2d" ago on Oct 12): "A roof replacement shouldn't feel like radio silence until a dumpster shows up." — their own words about communication, 2 days old, safe and positive; URL https://www.linkedin.com/company/blue-peaks-roofing-littleton-co. Backup: July 23, 2026 hail-season inspection expansion release.</t>
        </is>
      </c>
      <c r="T6" s="8" t="inlineStr">
        <is>
          <t>Unknown — nothing published. Site home + FAQ: "We make emergency repairs during normal business hours." / FAQ: "Yes. We handle emergency repairs during normal business hours." Contact page: "Emergency repairs are available during business hours." and "We call you back to set a time." No hours listed on the site; no 24/7 claim; no answering service, call center, text-back, or AI receptionist mentioned anywhere in page source. Aggregator-shown GBP hours (unverified): Mon-Fri 8 AM-5 PM, Sat-Sun Closed (https://www.leadstal.com/sb/blue-peaks-roofing).</t>
        </is>
      </c>
      <c r="U6" s="9" t="inlineStr"/>
      <c r="V6" s="10" t="inlineStr"/>
      <c r="W6" s="9" t="inlineStr"/>
      <c r="X6" s="10" t="inlineStr"/>
      <c r="Y6" s="9" t="inlineStr"/>
      <c r="Z6" s="10" t="inlineStr"/>
      <c r="AA6" s="11">
        <f>IF(A6="","",IF(OR(V6="Game Plan Call booked",V6="Do not call",V6="Not interested",V6="Email captured (GEO audit)",X6="Game Plan Call booked",X6="Do not call",X6="Not interested",X6="Email captured (GEO audit)",Y6&lt;&gt;""),"Done",IF(W6&lt;&gt;"",W6+3,IF(U6&lt;&gt;"",U6+2,"Call today"))))</f>
        <v/>
      </c>
      <c r="AB6" s="10" t="inlineStr"/>
      <c r="AC6" s="9" t="inlineStr"/>
      <c r="AD6" s="10" t="inlineStr"/>
      <c r="AE6" s="8" t="inlineStr">
        <is>
          <t>https://bluepeaksroofing.com</t>
        </is>
      </c>
      <c r="AF6" s="8" t="inlineStr">
        <is>
          <t>admin@bluepeaksroofing.com</t>
        </is>
      </c>
    </row>
    <row r="7" ht="110" customHeight="1">
      <c r="A7" s="8" t="inlineStr">
        <is>
          <t>20261012-06</t>
        </is>
      </c>
      <c r="B7" s="8" t="inlineStr">
        <is>
          <t>Shockley Electric LLC</t>
        </is>
      </c>
      <c r="C7" s="8" t="inlineStr">
        <is>
          <t>Christian Shockley</t>
        </is>
      </c>
      <c r="D7" s="8" t="inlineStr">
        <is>
          <t>Not found</t>
        </is>
      </c>
      <c r="E7" s="8" t="inlineStr">
        <is>
          <t>Not found (only the main line +1 770-630-6858 is published; with a 2-person crew it may be his cell — manual dial only)</t>
        </is>
      </c>
      <c r="F7" s="8" t="inlineStr">
        <is>
          <t>+1 770-630-6858 (main line; same number on site tel: links, BBB, Nextdoor, Thumbtack — CONFIRMED. 2-person shop, so this may ring to the owner's cell: manual human dial only, no SMS/AI outbound.)</t>
        </is>
      </c>
      <c r="G7" s="8" t="inlineStr">
        <is>
          <t>Marietta</t>
        </is>
      </c>
      <c r="H7" s="8" t="inlineStr">
        <is>
          <t>GA</t>
        </is>
      </c>
      <c r="I7" s="8" t="inlineStr">
        <is>
          <t>ET</t>
        </is>
      </c>
      <c r="J7" s="8" t="inlineStr">
        <is>
          <t>Tue-Thu 8:00-8:50 AM ET, just before the posted 9:00 open and before he is on a ladder; fallback Tue-Thu 4:30-5:30 PM ET as jobs wrap and before the line 'closes' at 5:30. Reason: Thumbtack shows '2 employees' and reviews describe Christian personally doing 4-hour jobs, so mid-day (9:30-4:00) the only published number is in a panel and rings to voicemail. Skip Mondays (solo scheduler's catch-up day) and weekends (Closed).</t>
        </is>
      </c>
      <c r="K7" s="8" t="inlineStr">
        <is>
          <t>Mon-Fri 9:00 AM-5:30 PM, Sat-Sun Closed (Nextdoor listing). Thumbtack shows Mon-Fri 9:00 AM-5:00 PM, Sat/Sun Closed. Website lists no hours and no 24/7 claim; Google Business Profile not accessible this session.</t>
        </is>
      </c>
      <c r="L7" s="8" t="inlineStr">
        <is>
          <t>No gatekeeper. Two-employee shop (Thumbtack: 'Hired 60 times, 2 employees, 12 years in business'); no office manager, dispatcher, answering service or AI receptionist found on the site, BBB, Nextdoor or Thumbtack, and the single published number 770-630-6858 appears on every page - almost certainly Christian's own cell, so expect him or voicemail. Reviews name only Christian as the person doing the work. A second person replies for the business on Nextdoor (initials 'T. J.', Hiram, GA) - possibly the second employee; if someone else answers, ask for Christian by first name ('Is Christian around? It's Sam'). Ignore the contact-page fax +1 800 889 9898 (placeholder). On voicemail leave a 10-second message naming the demo line, no pitch, and log 'who answered' on first dial. Manual human dial only - no SMS or AI outbound to this number since it may be a personal cell. Tone: terse, anti-upsell ('we do not upsell') - no hype, no 'AI' lead-in, do not quote a Google review count.</t>
        </is>
      </c>
      <c r="M7" s="8" t="n">
        <v>66</v>
      </c>
      <c r="N7" s="8" t="inlineStr">
        <is>
          <t>Overwhelmed Owner-Operator (primary, medium confidence); Marketing-Burned Skeptic (secondary)</t>
        </is>
      </c>
      <c r="O7" s="8" t="inlineStr">
        <is>
          <t>Voice AI live demo built from shockleyelectric.com (safety-triage branch for sparking/burning-smell calls, panel-upgrade quote capture, books the free estimate) + missed-call text-back. Add the free GEO audit as the second touch once the spot-check is run (no schema on site).</t>
        </is>
      </c>
      <c r="P7" s="8" t="inlineStr">
        <is>
          <t>"Christian? Sam with Eat 4 Life Marketing - straight up, this is a cold call, you can hang up on me. Your site says 'call us now to schedule,' and Nextdoor shows the line closing at 5:30 and on weekends. With a two-man crew I'd bet some panel-upgrade calls hit voicemail while you're in a box - and that homeowner just calls the next electrician on Google. We built a demo receptionist from shockleyelectric.com you can call before you pay a dollar - it picks up when you can't, asks if something's sparking, and books the free estimate. Got 20 seconds for me to explain, then you tell me if it's worth a longer look?"</t>
        </is>
      </c>
      <c r="Q7" s="8" t="inlineStr">
        <is>
          <t>"Christian, it's Sam with Eat 4 Life Marketing. We built a demo receptionist from shockleyelectric.com you can call right now — it picks up when you're on a ladder or it's after 5:30, asks whether something's sparking or smells hot, and books the free estimate for a panel upgrade. Nothing to buy to hear it; if you don't like it, hang up on it." Qualify: "Who picks up right now when you're mid-job — you, voicemail, or nobody?"</t>
        </is>
      </c>
      <c r="R7" s="8" t="inlineStr">
        <is>
          <t>"I answer my own phone — it's just me and one guy, I don't need a receptionist." Answer: "Keep answering. This only catches the calls that already hit voicemail — after 5:30, weekends, when you're in a panel — and books them; go-live is one call-forwarding rule and rollback is one dial code."</t>
        </is>
      </c>
      <c r="S7" s="8" t="inlineStr">
        <is>
          <t>The Nextdoor 'Our story' line 'The Electrician Marietta GA Calls First' paired with the posted hours (Mon–Fri 9–5:30, closed weekends) — a neutral, verifiable observation about his phone process that leads straight to the demo (https://nextdoor.com/pages/shockley-electric-marietta-ga/). Backup compliment: Expertise.com 'Best Electricians in Roswell, GA 2026' list updated Oct 8, 2026 (https://www.expertise.com/ga/roswell/electricians); safest brag to mirror: lifetime labor guarantee and 'we do not upsell'.</t>
        </is>
      </c>
      <c r="T7" s="8" t="inlineStr">
        <is>
          <t>Unknown / not stated. Hours: Mon–Fri 9:00 AM–5:30 PM, Sat–Sun Closed (Nextdoor; Thumbtack confirms Sun Closed). Site mentions 'emergency repairs' but makes no 24/7 claim, lists no after-hours number, answering service, or AI receptionist, and page source has no answering/AI vendor scripts. With a 2-person crew and phone-only scheduling, after-hours and on-the-job calls most likely reach voicemail (not verified — Sam records 'who answered' on first dial).</t>
        </is>
      </c>
      <c r="U7" s="9" t="inlineStr"/>
      <c r="V7" s="10" t="inlineStr"/>
      <c r="W7" s="9" t="inlineStr"/>
      <c r="X7" s="10" t="inlineStr"/>
      <c r="Y7" s="9" t="inlineStr"/>
      <c r="Z7" s="10" t="inlineStr"/>
      <c r="AA7" s="11">
        <f>IF(A7="","",IF(OR(V7="Game Plan Call booked",V7="Do not call",V7="Not interested",V7="Email captured (GEO audit)",X7="Game Plan Call booked",X7="Do not call",X7="Not interested",X7="Email captured (GEO audit)",Y7&lt;&gt;""),"Done",IF(W7&lt;&gt;"",W7+3,IF(U7&lt;&gt;"",U7+2,"Call today"))))</f>
        <v/>
      </c>
      <c r="AB7" s="10" t="inlineStr"/>
      <c r="AC7" s="9" t="inlineStr"/>
      <c r="AD7" s="10" t="inlineStr"/>
      <c r="AE7" s="8" t="inlineStr">
        <is>
          <t>https://shockleyelectric.com/</t>
        </is>
      </c>
      <c r="AF7" s="8" t="inlineStr">
        <is>
          <t>christian@shockleyelectric.com</t>
        </is>
      </c>
    </row>
    <row r="8" ht="110" customHeight="1">
      <c r="A8" s="8" t="inlineStr">
        <is>
          <t>20261012-07</t>
        </is>
      </c>
      <c r="B8" s="8" t="inlineStr">
        <is>
          <t>Light It Up Electric, Inc.</t>
        </is>
      </c>
      <c r="C8" s="8" t="inlineStr">
        <is>
          <t>Todd Guernsey</t>
        </is>
      </c>
      <c r="D8" s="8" t="inlineStr">
        <is>
          <t>Owner / Texas Master Electrician</t>
        </is>
      </c>
      <c r="E8" s="8" t="inlineStr">
        <is>
          <t>Not found (only the main line 469-261-1503 appears on the site, BBB, JSON-LD and the TDLR record)</t>
        </is>
      </c>
      <c r="F8" s="8" t="inlineStr">
        <is>
          <t>+1 469-261-1503 (site header/footer tel: link, JSON-LD, BBB, TDLR license record all match)</t>
        </is>
      </c>
      <c r="G8" s="8" t="inlineStr">
        <is>
          <t>Frisco</t>
        </is>
      </c>
      <c r="H8" s="8" t="inlineStr">
        <is>
          <t>TX</t>
        </is>
      </c>
      <c r="I8" s="8" t="inlineStr">
        <is>
          <t>America/Chicago (Central Time)</t>
        </is>
      </c>
      <c r="J8" s="8" t="inlineStr">
        <is>
          <t>Tue–Thu 8:05–8:45 AM CT, with 4:00–4:45 PM CT as the fallback. Reason: the site posts 'Reception Hours' starting at 8:00 (contact page/footer) or 9:00 (appointment page), so a staffed office line opens then and crews are least likely to be mid-job early; after 5:00 PM and weekends the line is closed, so never call then. Nothing public says the owner answers the main line, so expect reception and ask for Todd by name.</t>
        </is>
      </c>
      <c r="K8" s="8" t="inlineStr">
        <is>
          <t>Mon–Fri 8:00 AM–5:00 PM, Sat–Sun Closed (site footer, FAQ 'We are open Monday through Friday 8:00 am to 5:00 pm', and OpeningHoursSpecification JSON-LD). 'Reception Hours' shown as Mon–Fri 9:00 am–5:00 pm on /schedule-an-appointment but 8:00 am–5:00 pm on /contact — minor conflict. No 24/7 or emergency hours anywhere; live GBP hours not fetched.</t>
        </is>
      </c>
      <c r="L8" s="8" t="inlineStr">
        <is>
          <t>The site posts "Reception Hours," so expect a receptionist/office person on 469-261-1503 during 8–5 CT (name not published; BBB lists no customer contact). Natasha Guernsey is named on the company site as the author of every blog post (role not stated) and is the likely office/marketing contact and a possible champion — if she answers, reference the Halloween panel posts. Ask for "Todd Guernsey, the master electrician" by name; no owner cell or direct line is published anywhere public. If routed to email, Info@LightItUpElectric.net is on Google Workspace (good deliverability); LightItUpElect@aol.com is the address the appointment page shows under "Email us." Do not mention family relationships; treat Natasha only as a named company contact.</t>
        </is>
      </c>
      <c r="M8" s="8" t="n">
        <v>66</v>
      </c>
      <c r="N8" s="8" t="inlineStr">
        <is>
          <t>Unclear (leans Growth-Minded Operator; Family-Legacy Pride Brand secondary)</t>
        </is>
      </c>
      <c r="O8" s="8" t="inlineStr">
        <is>
          <t>Voice AI live demo — an after-hours/overflow receptionist trained on lightitupelectric.net that answers the calls reception misses after 5 PM and on weekends, triages 'sparking/burning smell' urgency, books the estimate, and can mention the Advantage Plan; pair with missed-call text-back and sub-60-second form reply. Ask #2: free AI visibility audit for 'EV charger installer / electrician near Frisco, TX'.</t>
        </is>
      </c>
      <c r="P8" s="8" t="inlineStr">
        <is>
          <t>Hi Todd — Sam with Eat 4 Life Marketing. Full disclosure, this is a cold call, so feel free to hang up on me. I was on lightitupelectric.net and the Advantage EV+ plan caught my eye. Here's why I'm calling: your site says "if you need us right now, call us," but reception closes at 5 and all weekend, so a 7 PM panel or EV-charger call hits voicemail and that homeowner calls the next electrician on Google. We built a receptionist trained on your own website that picks those up and books the estimate — you can call it before you pay a dollar. Can I take 20 seconds to explain how it works, and you tell me if it's worth a longer look?</t>
        </is>
      </c>
      <c r="Q8" s="8" t="inlineStr">
        <is>
          <t>Coverage gap, not growth: the site tells people "if you need us right now, call us" and promises same-day response, but reception closes at 5 and all weekend, so a warm-outlet, tripped-panel or EV-charger call at 7 PM hits voicemail and that homeowner dials the next electrician — the exact "shop around" problem their own memberships page says they lose to. Proof-first: E4L builds a demo line trained on their own site they can call before paying; go-live is one conditional call-forwarding rule for missed/busy calls, rollback is one dial code, and a human still answers everything they already pick up. Secondary: every after-hours caller the receptionist books is a natural Advantage Plan prospect.</t>
        </is>
      </c>
      <c r="R8" s="8" t="inlineStr">
        <is>
          <t>"We're a small family shop and reception already handles the phones — we get back to everyone the same day." Answer: it only touches calls that already go to voicemail (after 5, weekends, line busy); nothing changes about who answers during the day; hear the demo first, no commitment. Expect pragmatic skepticism of marketing vendors (niche read: allergic to hype, will try to break the demo) — lead with the demo number, not features, and never say "AI" first.</t>
        </is>
      </c>
      <c r="S8" s="8" t="inlineStr">
        <is>
          <t>The Advantage EV+ membership plan plus the twice-weekly Halloween-themed blog run (Oct 6 'No Tricks — Just a Safer Home', Oct 8 'Frankenstein Says: Check the Panel!'), both dated within the last 7 days on https://www.lightitupelectric.net/blog and /memberships — recent, specific, positive, and about their business. Fallback: 'Voted Best Electrician in Frisco' banner (undated) and 26 years family-owned.</t>
        </is>
      </c>
      <c r="T8" s="8" t="inlineStr">
        <is>
          <t>hours_only. Site/JSON-LD: Mon–Fri 08:00–17:00, 'Saturday to Sunday : Closed'; no 24/7, emergency-line, answering-service, call-center or AI-receptionist text anywhere in the fetched source of /, /contact, /schedule-an-appointment, /faqs, /memberships. Yet the site promises 'Same-Day Response' (memberships page), 'Will Get Back To You The Same Day' (home), 'If you need us right now call us at 469-261-1503' (form confirmation), and the FAQ tells warm-outlet callers to 'call us immediately'. After 5 PM and all weekend the only path is voicemail or a form answered 'as soon as possible'.</t>
        </is>
      </c>
      <c r="U8" s="9" t="inlineStr"/>
      <c r="V8" s="10" t="inlineStr"/>
      <c r="W8" s="9" t="inlineStr"/>
      <c r="X8" s="10" t="inlineStr"/>
      <c r="Y8" s="9" t="inlineStr"/>
      <c r="Z8" s="10" t="inlineStr"/>
      <c r="AA8" s="11">
        <f>IF(A8="","",IF(OR(V8="Game Plan Call booked",V8="Do not call",V8="Not interested",V8="Email captured (GEO audit)",X8="Game Plan Call booked",X8="Do not call",X8="Not interested",X8="Email captured (GEO audit)",Y8&lt;&gt;""),"Done",IF(W8&lt;&gt;"",W8+3,IF(U8&lt;&gt;"",U8+2,"Call today"))))</f>
        <v/>
      </c>
      <c r="AB8" s="10" t="inlineStr"/>
      <c r="AC8" s="9" t="inlineStr"/>
      <c r="AD8" s="10" t="inlineStr"/>
      <c r="AE8" s="8" t="inlineStr">
        <is>
          <t>https://www.lightitupelectric.net</t>
        </is>
      </c>
      <c r="AF8" s="8" t="inlineStr">
        <is>
          <t>Info@LightItUpElectric.net</t>
        </is>
      </c>
    </row>
    <row r="9" ht="110" customHeight="1">
      <c r="A9" s="8" t="inlineStr">
        <is>
          <t>20261012-08</t>
        </is>
      </c>
      <c r="B9" s="8" t="inlineStr">
        <is>
          <t>By The Book Plumbing LLC</t>
        </is>
      </c>
      <c r="C9" s="8" t="inlineStr">
        <is>
          <t>James Smith</t>
        </is>
      </c>
      <c r="D9" s="8" t="inlineStr">
        <is>
          <t>Owner / Co-founder</t>
        </is>
      </c>
      <c r="E9" s="8" t="inlineStr">
        <is>
          <t>Not found (only the main line 281-907-2092 is published; the TSBPE RMP record lists no phone)</t>
        </is>
      </c>
      <c r="F9" s="8" t="inlineStr">
        <is>
          <t>+1 281-907-2092</t>
        </is>
      </c>
      <c r="G9" s="8" t="inlineStr">
        <is>
          <t>Spring</t>
        </is>
      </c>
      <c r="H9" s="8" t="inlineStr">
        <is>
          <t>TX</t>
        </is>
      </c>
      <c r="I9" s="8" t="inlineStr">
        <is>
          <t>CT</t>
        </is>
      </c>
      <c r="J9" s="8" t="inlineStr">
        <is>
          <t>Tue-Thu 7:30-8:00 AM CT, before his first job (listed hours start at 8 AM), with a backup window 4:00-5:00 PM CT right after listed hours end. Reason: no office staff, dispatcher or answering service appears in any public source; reviews show James schedules and does the work himself ('James offered the first available appointment'; review replies signed '-James'), so midday he is under a water heater and the published line likely rings to him. Avoid Monday mornings (weekend backlog) and Friday after 2 PM.</t>
        </is>
      </c>
      <c r="K9" s="8" t="inlineStr">
        <is>
          <t>Mon-Fri 8:00 AM-4:00 PM; Sat-Sun Closed (Google Business Profile mirror via LeadsTal and the Nextdoor business page agree). The site's Spring TX page claims 'round-the-clock' emergency response and Yelp reportedly lists 'open 24 hours', but (281) 907-2092 is the only published line and no after-hours coverage is named.</t>
        </is>
      </c>
      <c r="L9" s="8" t="inlineStr">
        <is>
          <t>No gatekeeper found. No office manager, dispatcher, receptionist or answering service is named on the site, Nextdoor, Trustindex (727 reviews), the GBP mirror, conroedirect or the 2018 Voyage Houston interview; the TSBPE record lists no phone. The only published number, (281) 907-2092, appears to ring to James himself (he schedules jobs personally per reviews and signs replies '-James'), and it may be his cell, so human dial only, no SMS or AI voice to that line. Dana Smith is named co-founder on the homepage (the 2018 interview mentions his wife without a role); if she answers, ask for James by name and say it is about the Saturday and after-4 PM calls. If voicemail: leave a 10-second message naming the demo line, then email james@bythebookplumbing.com (printed in the site footer). Neighbors call him 'old school' and code-driven, so do not open with 'AI'; stress it is trained on his site and answers as By The Book.</t>
        </is>
      </c>
      <c r="M9" s="8" t="n">
        <v>65</v>
      </c>
      <c r="N9" s="8" t="inlineStr">
        <is>
          <t>Overwhelmed Owner-Operator (medium confidence; secondary Family-Legacy Pride cues)</t>
        </is>
      </c>
      <c r="O9" s="8" t="inlineStr">
        <is>
          <t>Voice AI live demo built from bythebookplumbing.com with the emergency/after-hours angle, paired with missed-call text-back (door-opener = demo number; D2 = 15 and the site is scrapable, but throttle the scraper - the site WAF began returning 403 after roughly 15 rapid fetches). Run the GEO audit before send since D4 is unchecked.</t>
        </is>
      </c>
      <c r="P9" s="8" t="inlineStr">
        <is>
          <t>James? Sam with Eat 4 Life Marketing. This is a cold call, so I'll be quick. Your Google listing closes at four and shows weekends off, but your Spring page promises round-the-clock emergency service, so I'm guessing a Saturday water-heater leak hits voicemail while you're under a tank, and that homeowner calls the next name on Google. We build a receptionist trained on your own site that answers as By The Book, books the job, and texts back every missed call in under a minute. You can call it and hear it before you pay a dollar. Can I take twenty seconds to tell you how the demo line works, and if it's not for you, I'll let you go?</t>
        </is>
      </c>
      <c r="Q9" s="8" t="inlineStr">
        <is>
          <t>James, your Google listing says you offer emergency plumbing, but hours stop at 4 and weekends show closed, so a Saturday-night water-heater leak in Spring probably lands in voicemail and that homeowner calls the next plumber on Google. We built a receptionist from your own website that picks up those calls, gets the name, address and what's leaking, books it or texts them back in under a minute, and you can hear it answer as By The Book before you pay anything. Going live is one call-forwarding rule for missed calls, and one dial code turns it off.</t>
        </is>
      </c>
      <c r="R9" s="8" t="inlineStr">
        <is>
          <t>"It's just me, I'm already booked a week out, and I don't want a robot talking to my customers." Answer: it only takes the calls you already can't (missed, after 4pm, weekends), introduces itself as By The Book's assistant, captures the water-heater and tankless jobs you want and politely refers the rest, so the schedule fills with the right work instead of callers going to the next plumber; hear it on the demo line first, nothing to buy until you have.</t>
        </is>
      </c>
      <c r="S9" s="8" t="inlineStr">
        <is>
          <t>671 Google reviews at 5.0 that name James personally (Trustindex) set against the GBP listing that says "Yes, we offer emergency plumbing services" while hours read Mon-Fri 8 AM-4 PM, Sat/Sun Closed (LeadsTal GBP mirror) - a neutral, verifiable observation about who picks up the phone. Backup: Nextdoor neighbors calling him "old school" and "a hidden gem".</t>
        </is>
      </c>
      <c r="T9" s="8" t="inlineStr">
        <is>
          <t>Unknown / no coverage stated. GBP mirror (LeadsTal) and the Nextdoor business page both list Mon-Fri 8 AM-4 PM, Sat/Sun Closed. The site's Spring TX landing page (https://bythebookplumbing.com/spring-texas/) DOES claim 'Plumbing problems don't adhere to regular business hours, and neither do we… providing round-the-clock services when you need them' (home/about/contact pages make no 24/7 claim). No answering service, office line, dispatcher or after-hours number is published anywhere. Yelp reportedly lists 'open 24 hours' (page could not be opened). Who picks up after 4 PM or on weekends is not stated.</t>
        </is>
      </c>
      <c r="U9" s="9" t="inlineStr"/>
      <c r="V9" s="10" t="inlineStr"/>
      <c r="W9" s="9" t="inlineStr"/>
      <c r="X9" s="10" t="inlineStr"/>
      <c r="Y9" s="9" t="inlineStr"/>
      <c r="Z9" s="10" t="inlineStr"/>
      <c r="AA9" s="11">
        <f>IF(A9="","",IF(OR(V9="Game Plan Call booked",V9="Do not call",V9="Not interested",V9="Email captured (GEO audit)",X9="Game Plan Call booked",X9="Do not call",X9="Not interested",X9="Email captured (GEO audit)",Y9&lt;&gt;""),"Done",IF(W9&lt;&gt;"",W9+3,IF(U9&lt;&gt;"",U9+2,"Call today"))))</f>
        <v/>
      </c>
      <c r="AB9" s="10" t="inlineStr"/>
      <c r="AC9" s="9" t="inlineStr"/>
      <c r="AD9" s="10" t="inlineStr"/>
      <c r="AE9" s="8" t="inlineStr">
        <is>
          <t>https://bythebookplumbing.com/</t>
        </is>
      </c>
      <c r="AF9" s="8" t="inlineStr">
        <is>
          <t>james@bythebookplumbing.com</t>
        </is>
      </c>
    </row>
    <row r="10" ht="110" customHeight="1">
      <c r="A10" s="8" t="inlineStr">
        <is>
          <t>20261012-09</t>
        </is>
      </c>
      <c r="B10" s="8" t="inlineStr">
        <is>
          <t>ScissorTail Roofing &amp; Construction</t>
        </is>
      </c>
      <c r="C10" s="8" t="inlineStr">
        <is>
          <t>Matt Morgan</t>
        </is>
      </c>
      <c r="D10" s="8" t="inlineStr">
        <is>
          <t>Owner</t>
        </is>
      </c>
      <c r="E10" s="8" t="inlineStr">
        <is>
          <t>+1 405-452-0591 — LIKELY, not confirmed as owner-direct: listed as "Contact phone" under "Contact name Matt Morgan" in the May 5, 2025 GetFeatured press placement media-contact block; scout noted an older directory shows it as the Norman office line; not labeled cell/direct anywhere. Manual human dial only; line type unknown.</t>
        </is>
      </c>
      <c r="F10" s="8" t="inlineStr">
        <is>
          <t>+1 405-928-8089 (site header/footer tel link, Contact page, BBB — CONFIRMED main line)</t>
        </is>
      </c>
      <c r="G10" s="8" t="inlineStr">
        <is>
          <t>Norman</t>
        </is>
      </c>
      <c r="H10" s="8" t="inlineStr">
        <is>
          <t>OK</t>
        </is>
      </c>
      <c r="I10" s="8" t="inlineStr">
        <is>
          <t>America/Chicago — Central Time (CDT in October, UTC-5)</t>
        </is>
      </c>
      <c r="J10" s="8" t="inlineStr">
        <is>
          <t>Tue–Thu 8:00–8:45 AM CT, right at office open before account managers and production staff head to job sites (office line staffed from 8:00 per site hours; trades window per playbook); fallback Tue–Thu 4:30–5:45 PM CT before the 6:00 PM close when field staff are back. Avoid Mondays (storm-week callback backlog) and anything outside 8–6 (site says after-hours is emergencies only).</t>
        </is>
      </c>
      <c r="K10" s="8" t="inlineStr">
        <is>
          <t>Mon–Fri 8:00 AM–6:00 PM; Saturday and Sunday "By Appointment"; "24/7 Emergency Services Available" / "around the clock for emergencies" (site homepage, Contact page, JSON-LD openingHoursSpecification Mon–Fri 08:00–18:00). Google Business Profile hours not readable this run.</t>
        </is>
      </c>
      <c r="L10" s="8" t="inlineStr">
        <is>
          <t>Who answers the main line (405) 928-8089 is not published — no office manager/dispatcher named on site, BBB, or reviews (reviews not readable). Published contact is Matt Seaton, Director of Operations (matt.seaton@scissortailroofing.com; "regularly find him in the field talking with our customers"). Account-management team that likely fields inbound: Lance Uhles (Director), Nich Lanier and Mitchell Smith (Account Managers). The estimate widget says messages go to "his personal phone" — unnamed. Two Matts: ask for "Matt Seaton" first (he is the published contact and runs operations/efficiency programs — natural champion), then "Matt Morgan, the owner". Second line (405) 452-0591 is tied to Matt Morgan as media contact in the May 2025 press release — try it only as a manual dial if the main line stalls. No answering service or IVR detected.</t>
        </is>
      </c>
      <c r="M10" s="8" t="n">
        <v>65</v>
      </c>
      <c r="N10" s="8" t="inlineStr">
        <is>
          <t>Growth-Minded Operator (secondary: Tech-Forward Early Adopter) — medium confidence</t>
        </is>
      </c>
      <c r="O10" s="8" t="inlineStr">
        <is>
          <t>Voice AI live demo line built from scissortailroofing.com — positioned as after-hours/overflow coverage behind their own "Responses within 2 hrs" promise: answers the 24/7 emergency line when the personal phone is on a roof, qualifies storm/leak urgency, captures address + insurance status, books the free estimate; pair with missed-call text-back on the SMS-consented estimate form. GEO audit only as a secondary touch (site already schema-ready). demo_build = yes (D2 = 15, site scrapable, 38 clean pages).</t>
        </is>
      </c>
      <c r="P10" s="8" t="inlineStr">
        <is>
          <t>"Hi, this is Sam with Eat 4 Life Marketing — this is a cold call, so feel free to hang up on me. I was on scissortailroofing.com and saw you promise 24/7 emergency service across Central Oklahoma while the office runs eight to six, and estimate requests go straight to somebody's personal phone. We built a demo receptionist for ScissorTail from your own site — it only picks up the calls that ring out after six or during a hail week, qualifies the caller, and books the free estimate. Can I take twenty seconds to tell you how it works, and you tell me whether it's worth hearing?"</t>
        </is>
      </c>
      <c r="Q10" s="8" t="inlineStr">
        <is>
          <t>Missed-call / after-hours voice demo. Matt Morgan spent 15 years in software management and the company already runs a GEO-ready site, so skip "AI education" and GEO; lead with proof: a demo receptionist already built from their own site that only takes the calls that ring out after 6pm, on weekends ("By Appointment"), and during hail-week surges across 9 cities — then books the free estimate and texts the caller back. Frame it as protecting the "Responses within 2 hrs" promise and the Google Guaranteed leads they are already paying for, not replacing Matt Seaton's team. Secondary champion: Matt Seaton (Director of Operations, "operation and efficiency programs") — the demo is something he can forward to the three owners.</t>
        </is>
      </c>
      <c r="R10" s="8" t="inlineStr">
        <is>
          <t>"It goes straight to my personal phone and we respond within two hours — we don't miss calls." Response: agree, and point out the demo only picks up when that phone can't (on a roof, after 6, Sunday storm night); offer to let them call the demo line and hear it; go-live is one conditional call-forward rule on missed/busy calls, rollback is one dial code. Second objection: "we already have a new website / we're Google Guaranteed" — reply that this is about the calls those investments generate, not more marketing.</t>
        </is>
      </c>
      <c r="S10" s="8" t="inlineStr">
        <is>
          <t>Matt Morgan serving as Board President of the Oklahoma Roofing Contractors Association (site About; undated) — safe, professional compliment. Operational hook: the site promises "24/7 Emergency Services Available" / "Responses within 2 hrs" while hours are Mon–Fri 8–6 and estimate texts go "straight to my personal phone" (homepage). Secondary: new website built ~May 2026 (robots.txt "Generated: May 2026", Astro v6.2.1, © 2026).</t>
        </is>
      </c>
      <c r="T10" s="8" t="inlineStr">
        <is>
          <t>claims_24_7 with hours_only staffing — Site: "24/7 Emergency Services Available" (homepage badge), FAQ: "Yes, we provide 24/7 emergency roofing services for storm damage and urgent repairs across Central Oklahoma", Norman page: "Emergency response available 24/7"; Contact page: "We are available Monday through Friday from 8a to 6p, by appointment outside those hours, and around the clock for emergencies"; hours block "Mon–Fri 8:00 AM - 6:00 PM · Sat By Appointment · Sun By Appointment"; header promise "Responses within 2 hrs". Estimate widget: "Replies on his personal phone — This text goes straight to my personal phone." No answering service, IVR, call center, or AI receptionist mentioned anywhere on site or in page source. Who actually answers after 6pm: Not found.</t>
        </is>
      </c>
      <c r="U10" s="9" t="inlineStr"/>
      <c r="V10" s="10" t="inlineStr"/>
      <c r="W10" s="9" t="inlineStr"/>
      <c r="X10" s="10" t="inlineStr"/>
      <c r="Y10" s="9" t="inlineStr"/>
      <c r="Z10" s="10" t="inlineStr"/>
      <c r="AA10" s="11">
        <f>IF(A10="","",IF(OR(V10="Game Plan Call booked",V10="Do not call",V10="Not interested",V10="Email captured (GEO audit)",X10="Game Plan Call booked",X10="Do not call",X10="Not interested",X10="Email captured (GEO audit)",Y10&lt;&gt;""),"Done",IF(W10&lt;&gt;"",W10+3,IF(U10&lt;&gt;"",U10+2,"Call today"))))</f>
        <v/>
      </c>
      <c r="AB10" s="10" t="inlineStr"/>
      <c r="AC10" s="9" t="inlineStr"/>
      <c r="AD10" s="10" t="inlineStr"/>
      <c r="AE10" s="8" t="inlineStr">
        <is>
          <t>https://www.scissortailroofing.com</t>
        </is>
      </c>
      <c r="AF10" s="8" t="inlineStr">
        <is>
          <t>Not found for the owner. Only published address: matt.seaton@scissortailroofing.com — belongs to Matt Seaton, Director of Operations (NOT an owner); shown on homepage ("Call us at 405-928-8089 or email matt.seaton@scissortailroofing.com to describe your project") and About page; MX present (smtp.google.com)</t>
        </is>
      </c>
    </row>
    <row r="11" ht="110" customHeight="1">
      <c r="A11" s="8" t="inlineStr">
        <is>
          <t>20261012-10</t>
        </is>
      </c>
      <c r="B11" s="8" t="inlineStr">
        <is>
          <t>Compassionate Care Veterinary Hospital of Charlotte</t>
        </is>
      </c>
      <c r="C11" s="8" t="inlineStr">
        <is>
          <t>Trish Johnson</t>
        </is>
      </c>
      <c r="D11" s="8" t="inlineStr">
        <is>
          <t>Practice Owner</t>
        </is>
      </c>
      <c r="E11" s="8" t="inlineStr">
        <is>
          <t>Not found. Secondary business numbers on BBB: (704) 847-4796 (phone) and (704) 847-7301 (fax) — distinct from the site's (704) 486-2571; not tied to the owner, do not treat as a direct line.</t>
        </is>
      </c>
      <c r="F11" s="8" t="inlineStr">
        <is>
          <t>+1 704-486-2571</t>
        </is>
      </c>
      <c r="G11" s="8" t="inlineStr">
        <is>
          <t>Charlotte</t>
        </is>
      </c>
      <c r="H11" s="8" t="inlineStr">
        <is>
          <t>NC</t>
        </is>
      </c>
      <c r="I11" s="8" t="inlineStr">
        <is>
          <t>America/New_York (Eastern)</t>
        </is>
      </c>
      <c r="J11" s="8" t="inlineStr">
        <is>
          <t>Tue or Thu 10:00–11:30 AM ET (after the 7:30 check-in rush, before lunch), fallback Mon/Tue/Thu 4:30–5:20 PM ET near close. Never Wednesday (closed all day) and not Fri 12–2 PM (closed for lunch). Dr. Johnson is the only DVM listed, so she is in exam rooms most of the day — ask Teresa (Office Manager, 'most often the voice clients first hear') when Dr. Johnson takes vendor calls, or pitch Teresa as the champion.</t>
        </is>
      </c>
      <c r="K11" s="8" t="inlineStr">
        <is>
          <t>From the website (GBP not fetchable this run): 'Monday - Thursday: 7:30 am – 5:30 pm' but banner 'We are CLOSED all day on Wednesdays' / 'Wednesdays - Closed All Day'; 'Friday: 7:30 am – 12pm; 2 – 5:30pm'; 'Saturday and Sunday: Closed'. Net: open Mon, Tue, Thu 7:30–5:30, Fri 7:30–12 and 2–5:30; closed Wed, Sat, Sun.</t>
        </is>
      </c>
      <c r="L11" s="8" t="inlineStr">
        <is>
          <t>Who answers: Teresa Fesmire, Office Manager and Lead Receptionist — 'she is most often the voice clients first hear' (site); she also runs inventory. BBB separately lists 'Lynn Wingard, Practice Manager' (possibly stale — not on the current site; use Teresa). No answering service or IVR mentioned; after hours the line is not covered (site refers to outside ER). Dr. Johnson is the only DVM, so she is in rooms — Teresa is the realistic first contact and a natural champion (the niche playbook says go through the practice manager with a calm, low-pressure note). Ask for 'Dr. Johnson' by name; if unavailable, give Teresa the demo number and ask for a 5-minute window on Tue/Thu. Second published number: (704) 847-4796 (BBB) — may be an older main line; do not assume it is a direct line. No owner cell published.</t>
        </is>
      </c>
      <c r="M11" s="8" t="n">
        <v>65</v>
      </c>
      <c r="N11" s="8" t="inlineStr">
        <is>
          <t>Overwhelmed Owner-Operator (medium confidence; secondary: Growth-Minded Operator — hiring two roles)</t>
        </is>
      </c>
      <c r="O11" s="8" t="inlineStr">
        <is>
          <t>Free GEO audit (Chosen's matrix default for veterinary) — but open with the live voice-demo line built from charlottepetdoctor.com: the receptionist job post is the rubric's strongest door-opener and D2 = 15 (demo_build = yes). Use the GEO audit as ask #2 on the call/email. run_geo_audit = yes (D4 unchecked).</t>
        </is>
      </c>
      <c r="P11" s="8" t="inlineStr">
        <is>
          <t>'Hi, this is Sam with Eat 4 Life Marketing — and full disclosure, this is a cold call, so you're welcome to hang up on me. I'm calling because your careers page is looking for a receptionist who can juggle several phone lines, and I noticed you're closed all day Wednesdays and weekends. We build a receptionist trained on Compassionate Care's own website — it picks up the calls that would hit voicemail, sends true emergencies straight to Carolina Veterinary Specialists, and books the rest for your front desk to confirm. Can I take 20 seconds to explain how it works, and then you decide whether it's worth a demo number you can call yourself?' (If Teresa answers: 'Hi, is this Teresa? Sam with Eat 4 Life Marketing — this is a cold call…' then same hook, and ask whether she or Dr. Johnson decides on front-desk tools.)</t>
        </is>
      </c>
      <c r="Q11" s="8" t="inlineStr">
        <is>
          <t>Missed-call / front-desk relief, not 'AI'. You are paying headcount to cover the phones and still have three closed days a week plus a Friday lunch gap; we build a receptionist trained on your own website that answers the calls that currently hit voicemail or a busy line, sends true emergencies straight to Carolina Veterinary Specialists (human/ER first, always), takes the rest as appointment requests Teresa confirms in the morning, and texts back every missed call in under a minute. Go-live is one conditional call-forwarding rule for missed/busy calls; rollback is one dial code. Proof lever: 'call the demo number we built from charlottepetdoctor.com before you pay anything.' Second ask: the free AI-visibility check for 'best vet in Charlotte' / 'emergency vet near Charlotte'.</t>
        </is>
      </c>
      <c r="R11" s="8" t="inlineStr">
        <is>
          <t>'We're hiring a person for that' / 'Our clients want a real person' / 'An AI will mishandle an emergency.' Handle: it does not replace Teresa or the new hire — it only catches what already goes unanswered (Wednesdays, after 5:30, weekends, second line busy); emergencies are routed to a human or the ER immediately with no triage by the agent; they hear it themselves on the demo line first; nothing to set up beyond one call-forwarding rule. Secondary objection: 'GeniusVets handles our marketing' — answer that the voice line sits in front of the phone, not the website, and coexists with their site.</t>
        </is>
      </c>
      <c r="S11" s="8" t="inlineStr">
        <is>
          <t>The live Veterinary Receptionist posting (page last modified 2026-09-07 per sitemap.xml) that asks for 'Ability to multitask, managing several phone lines and several functions at once', paired with the hospital being closed all day Wednesdays and weekends while the homepage carries a '24/7 Emergency Info' button that sends callers to an outside ER. Source: https://www.charlottepetdoctor.com/about-us/careers/veterinary-receptionist and https://www.charlottepetdoctor.com/</t>
        </is>
      </c>
      <c r="T11" s="8" t="inlineStr">
        <is>
          <t>hours_only — closed Wed/Sat/Sun and Fri 12–2; no answering service, call center, voicemail text, or AI receptionist mentioned anywhere on site or in page source. Homepage '24/7 Emergency Info' button leads to a referral page: 'For Emergency After Hours: Carolina Veterinary Specialists' (704) 815-3939 and 'For Urgent Care: Skyline Veterinary Specialists' (704) 612-5590. GBP hours/attributes not fetchable this run.</t>
        </is>
      </c>
      <c r="U11" s="9" t="inlineStr"/>
      <c r="V11" s="10" t="inlineStr"/>
      <c r="W11" s="9" t="inlineStr"/>
      <c r="X11" s="10" t="inlineStr"/>
      <c r="Y11" s="9" t="inlineStr"/>
      <c r="Z11" s="10" t="inlineStr"/>
      <c r="AA11" s="11">
        <f>IF(A11="","",IF(OR(V11="Game Plan Call booked",V11="Do not call",V11="Not interested",V11="Email captured (GEO audit)",X11="Game Plan Call booked",X11="Do not call",X11="Not interested",X11="Email captured (GEO audit)",Y11&lt;&gt;""),"Done",IF(W11&lt;&gt;"",W11+3,IF(U11&lt;&gt;"",U11+2,"Call today"))))</f>
        <v/>
      </c>
      <c r="AB11" s="10" t="inlineStr"/>
      <c r="AC11" s="9" t="inlineStr"/>
      <c r="AD11" s="10" t="inlineStr"/>
      <c r="AE11" s="8" t="inlineStr">
        <is>
          <t>https://www.charlottepetdoctor.com</t>
        </is>
      </c>
      <c r="AF11" s="8" t="inlineStr">
        <is>
          <t>info@charlottepetdoctor.com</t>
        </is>
      </c>
    </row>
    <row r="12" ht="110" customHeight="1">
      <c r="A12" s="8" t="inlineStr">
        <is>
          <t>20261012-11</t>
        </is>
      </c>
      <c r="B12" s="8" t="inlineStr">
        <is>
          <t>UB Code Roofing +</t>
        </is>
      </c>
      <c r="C12" s="8" t="inlineStr">
        <is>
          <t>Cynthia Smith</t>
        </is>
      </c>
      <c r="D12" s="8" t="inlineStr">
        <is>
          <t>President/CFO</t>
        </is>
      </c>
      <c r="E12" s="8" t="inlineStr">
        <is>
          <t>Not found (no number tied to Cynthia or Ronnie on any public page; the only numbers published are the company lines above)</t>
        </is>
      </c>
      <c r="F12" s="8" t="inlineStr">
        <is>
          <t>+1 303-458-3790 (BBB, Trustpilot, HomeAdvisor, Aurora Chamber). +1 303-225-4620 is the site number and is also listed beside Cynthia Smith on the Aurora Chamber member page, so it rings the business too; dial either, log which</t>
        </is>
      </c>
      <c r="G12" s="8" t="inlineStr">
        <is>
          <t>Aurora</t>
        </is>
      </c>
      <c r="H12" s="8" t="inlineStr">
        <is>
          <t>CO</t>
        </is>
      </c>
      <c r="I12" s="8" t="inlineStr">
        <is>
          <t>MT</t>
        </is>
      </c>
      <c r="J12" s="8" t="inlineStr">
        <is>
          <t>Tue-Thu 8:00-9:00 AM MT, right at office open and before Ronnie heads out (HomeAdvisor/Trustpilot reviews say Ronnie does inspections himself; Cynthia runs the office and insurance paperwork, so she is the one at the desk at 8). Fallback: Tue-Thu 4:00-4:45 PM MT before the 5 PM close. Skip Monday mornings (post-weekend storm backlog) and Saturdays (half day per site, closed per other listings).</t>
        </is>
      </c>
      <c r="K12" s="8" t="inlineStr">
        <is>
          <t>Site (/contact): Mon-Fri 8:00 AM-5:00 PM; Sat 8:00 AM-1:00 PM; Sun Closed; footer claims "We answer 7 days a week." Third-party listings differ: cityof.com shows Mon-Fri 8-5, Sat/Sun closed; Aurora Chamber shows Mon-Fri 8-4. Google Business Profile hours not verified.</t>
        </is>
      </c>
      <c r="L12" s="8" t="inlineStr">
        <is>
          <t>No office manager, dispatcher, or answering service named on the site, BBB, Chamber, Trustpilot, or HomeAdvisor. Cynthia Smith is the office: Aurora Chamber lists her as the member contact (with (303) 225-4620) and reviewers credit her with insurance and mortgage paperwork, so an 8 AM call likely reaches her directly. Ronnie Smith (VP, "the owner" to reviewers) is in the field; if he answers, pitch him as co-owner. Staff names seen in 2026 reviews: Jonathan and Ramone (crew/PM level, not phone). Lines: (303) 458-3790 (BBB/Trustpilot/HomeAdvisor main) and (303) 225-4620 (site and Chamber; Hibu phone-swap script present, but it is listed under Cynthia's name so it rings the business). After hours, expect voicemail (no 24/7 claim anywhere; callback form promises next business day); leave a 10-second voicemail naming the Trustpilot note "Ronnie and I could take that weight off your shoulders" and follow with the Podium text widget on the site. Open with "Is Cynthia in?" rather than asking for "the owner." Do not mention veteran status; do not quote Google review counts or Saturday hours as fact.</t>
        </is>
      </c>
      <c r="M12" s="8" t="n">
        <v>63</v>
      </c>
      <c r="N12" s="8" t="inlineStr">
        <is>
          <t>Family-Legacy Pride Brand (secondary: none strong; some Tech-Forward signals via Podium chat/text and claimed Trustpilot)</t>
        </is>
      </c>
      <c r="O12" s="8" t="inlineStr">
        <is>
          <t>Voice AI live demo line built from ubcoderoofing.com (door-opener: demo_build = yes; D2 = 15). Pair with missed-call text-back into their existing Podium/Hibu stack. Run the free GEO audit before send so the "Named in X of 28" line is available as the second ask.</t>
        </is>
      </c>
      <c r="P12" s="8" t="inlineStr">
        <is>
          <t>Hi, is this Cynthia? Cynthia, this is Sam with Eat 4 Life Marketing. Full disclosure, this is a cold call; you can hang up, or give me twenty seconds and decide. I was on ubcoderoofing.com and it says UB Code answers seven days a week, but your hours show Saturday ending at one and Sunday closed, so I got curious who catches the hail-damage calls after that, because that homeowner usually just calls the next roofer on Google. We build a receptionist trained on your own company that answers every one of those calls and books the inspection, and you can call the demo line and hear it before you pay a dollar. Can I take twenty seconds to show you how it works?</t>
        </is>
      </c>
      <c r="Q12" s="8" t="inlineStr">
        <is>
          <t>Ask for Cynthia or Ronnie by name; mention you read Cynthia's note that she and Ronnie "took that weight off" a customer's shoulders. Then: "Ronnie is on roofs doing inspections himself, and your site promises next-business-day callbacks, so the Saturday-afternoon and Sunday calls after a storm are landing on voicemail. We built a demo receptionist trained on your own website; call it, hear it book a roof inspection, and tell us if it sounds like UB Code." Close on the Game Plan Call or Cynthia's email for the demo number.</t>
        </is>
      </c>
      <c r="R12" s="8" t="inlineStr">
        <is>
          <t>"We already pay Hibu and Podium, our phones are handled." — Keep both; this only takes the calls that already roll to voicemail after 1pm Saturday and on Sundays, books them, and texts back every missed call, and you hear it on the demo line before anything changes.</t>
        </is>
      </c>
      <c r="S12" s="8" t="inlineStr">
        <is>
          <t>Cynthia's Oct 3, 2026 Trustpilot reply — "We're glad Ronnie and I could take that weight off your shoulders" (https://ca.trustpilot.com/review/ubcoderoofing.com) — paired with the neutral observation that the footer promises "We answer 7 days a week" while hours show Sunday closed (https://ubcoderoofing.com/contact). Opener in Sebastian's voice (under 25 words): "Cynthia, your note about taking the weight off a customer's shoulders stuck with me; who carries the Sunday calls when you and Ronnie can't?"</t>
        </is>
      </c>
      <c r="T12" s="8" t="inlineStr">
        <is>
          <t>Unknown / not stated. Published hours: "Mon - Fri: 8:00 am - 5:00 pm, Saturday: 8:00 am - 1:00 pm, Sunday: Closed" (https://ubcoderoofing.com/contact). Footer claims "Call (303) 225-4620 — We answer 7 days a week." and the emergency page says "Our team is ready to answer your call" and "Swift Emergency Responses", but there is no 24/7 claim and no mention anywhere (site, page source, BBB, Trustpilot) of an answering service, call center or AI receptionist. The Request Call Back form promises a representative "will contact you by the next business day" (https://ubcoderoofing.com/request-call-back). HomeAdvisor profile states "Emergency services are not offered." Podium text/webchat exists as a side channel.</t>
        </is>
      </c>
      <c r="U12" s="9" t="inlineStr"/>
      <c r="V12" s="10" t="inlineStr"/>
      <c r="W12" s="9" t="inlineStr"/>
      <c r="X12" s="10" t="inlineStr"/>
      <c r="Y12" s="9" t="inlineStr"/>
      <c r="Z12" s="10" t="inlineStr"/>
      <c r="AA12" s="11">
        <f>IF(A12="","",IF(OR(V12="Game Plan Call booked",V12="Do not call",V12="Not interested",V12="Email captured (GEO audit)",X12="Game Plan Call booked",X12="Do not call",X12="Not interested",X12="Email captured (GEO audit)",Y12&lt;&gt;""),"Done",IF(W12&lt;&gt;"",W12+3,IF(U12&lt;&gt;"",U12+2,"Call today"))))</f>
        <v/>
      </c>
      <c r="AB12" s="10" t="inlineStr"/>
      <c r="AC12" s="9" t="inlineStr"/>
      <c r="AD12" s="10" t="inlineStr"/>
      <c r="AE12" s="8" t="inlineStr">
        <is>
          <t>https://ubcoderoofing.com</t>
        </is>
      </c>
      <c r="AF12" s="8" t="inlineStr">
        <is>
          <t>cynthia@ubcoderoofing.com</t>
        </is>
      </c>
    </row>
    <row r="13" ht="110" customHeight="1">
      <c r="A13" s="8" t="inlineStr">
        <is>
          <t>20261012-12</t>
        </is>
      </c>
      <c r="B13" s="8" t="inlineStr">
        <is>
          <t>Eason Plumbing &amp; Drain Cleaning</t>
        </is>
      </c>
      <c r="C13" s="8" t="inlineStr">
        <is>
          <t>Cody Eason</t>
        </is>
      </c>
      <c r="D13" s="8" t="inlineStr">
        <is>
          <t>Owner</t>
        </is>
      </c>
      <c r="E13" s="8" t="inlineStr">
        <is>
          <t>Not found (unlabeled second lines: +1 615-617-0513 on ProvenExpert next to the main line; +1 615-249-4851 in site service-page CTAs — neither tied to a named person)</t>
        </is>
      </c>
      <c r="F13" s="8" t="inlineStr">
        <is>
          <t>+1 615-971-3226</t>
        </is>
      </c>
      <c r="G13" s="8" t="inlineStr">
        <is>
          <t>Lascassas (Murfreesboro / Rutherford County)</t>
        </is>
      </c>
      <c r="H13" s="8" t="inlineStr">
        <is>
          <t>TN</t>
        </is>
      </c>
      <c r="I13" s="8" t="inlineStr">
        <is>
          <t>America/Chicago (Central Time)</t>
        </is>
      </c>
      <c r="J13" s="8" t="inlineStr">
        <is>
          <t>Tue–Thu 7:00–7:45 AM CT, right at the posted 7am opening before trucks roll (owners are hands-on: a Google review on the site says 'Jeremy the owner was fantastic! One day service' and the About page shows 'Cody Eason - Hard at work'); second window 4:00–5:00 PM CT before the 5pm close. Never Sunday (closed).</t>
        </is>
      </c>
      <c r="K13" s="8" t="inlineStr">
        <is>
          <t>Site contact page: Monday–Friday 7:00am–5:00pm, Saturday 7:00–5:00pm, Sunday Closed (https://easonplumbing.com/contact-us/). Site also states 'We are available 24/7!'. Yelp (Lascassas listing, per search snippet) shows 'Open 24 hours' Mon–Sat, Sun closed — CONFLICT. Google Business Profile hours not retrieved this session.</t>
        </is>
      </c>
      <c r="L13" s="8" t="inlineStr">
        <is>
          <t>Main line +1 615-971-3226 is the only number on the site, BBB and Chamber; the office mailbox office@ exists so an office person likely answers during 7–5. No office manager or dispatcher is named anywhere public (no Team page, no signed review replies readable, no job posts). Ask for 'Cody' (BBB-listed Owner and TN SOS registered agent) or 'Jeremy' (customer-identified owner, ProvenExpert contact). Technician 'Thomas Duke' is named in two Google reviews on the site (not a decision-maker). Two unlabeled secondary numbers exist — +1 615-617-0513 (ProvenExpert) and +1 615-249-4851 (in 'Call Now' blocks on service pages, likely a tracking line) — do not treat either as a cell; dial the main line.</t>
        </is>
      </c>
      <c r="M13" s="8" t="n">
        <v>63</v>
      </c>
      <c r="N13" s="8" t="inlineStr">
        <is>
          <t>Family-Legacy Pride Brand (primary); Growth-Minded Operator (secondary). Confidence: medium (3+ signals across website, third-party profiles, reviews).</t>
        </is>
      </c>
      <c r="O13" s="8" t="inlineStr">
        <is>
          <t>Voice AI live demo built from easonplumbing.com — emergency/after-hours angle (24/7 promise vs 7–5 hours; burst-pipe season) with missed-call text-back; second lever: free AI Search Visibility audit (no FAQ schema; not named in 2 of 3 web-AI answers).</t>
        </is>
      </c>
      <c r="P13" s="8" t="inlineStr">
        <is>
          <t>"Cody? Sam with Eat 4 Life Marketing — this is a cold call, so feel free to hang up. I was on easonplumbing.com: it says you're available 24/7, but the posted hours stop at 5 and Sunday's closed. So who picks up when a pipe bursts on a Sunday night — you, voicemail, or nobody? We build a receptionist trained on your own site that answers and books those calls, and you can call the demo line before you pay a dollar. Can I take 20 seconds to explain, and you tell me if it's worth a longer look?" (If Jeremy answers, use his name; both are hands-on Easons.)</t>
        </is>
      </c>
      <c r="Q13" s="8" t="inlineStr">
        <is>
          <t>Legacy-protection + emergency coverage: three generations of Easons built the name; the calls that come in at 9pm Sunday or while Cody and Jeremy are under a sink are the ones that go to whoever answers next. Offer the demo line trained on their own site ('hear your business answered before you pay a dollar'), state plainly that go-live is one conditional call-forwarding rule for missed/busy calls and rollback is one dial code, and that it sits alongside Marketing 360 rather than replacing it. Mention gently that the Get-a-Quote page on the site is currently a blank placeholder form, so web quote requests have no path — E4L's speed-to-lead covers forms too. Ask #1 Game Plan Call; ask #2 email for the free AI visibility audit.</t>
        </is>
      </c>
      <c r="R13" s="8" t="inlineStr">
        <is>
          <t>'We've got Marketing 360 / someone already handles our marketing' and 'our guys answer the phone / calls forward to a cell after hours.' Response: this isn't a website or ads product — it only catches what already rings out or hits voicemail, books it, and texts the caller back; it coexists with their current stack; nothing to set up beyond conditional forwarding; they can call the demo and try to break it first. Secondary: 'robot answering will embarrass us with a customer' — the demo is trained on their own story and hours; a human still answers whenever they can.</t>
        </is>
      </c>
      <c r="S13" s="8" t="inlineStr">
        <is>
          <t>Back-to-back 'Best Plumbing Company in Rutherford County' (2024 &amp; 2025 Main Street Awards, stated on https://easonplumbing.com/) plus the Ruthies 2025 Community's Choice badge — the safest, freshest compliment; pair it with the 24/7-vs-7-to-5 observation. (Award dates not independently located; Murfreesboro Post list and DNJ gallery did not render.)</t>
        </is>
      </c>
      <c r="T13" s="8" t="inlineStr">
        <is>
          <t>Unstated. Site: 'We are available 24/7!' (footer, every page) and 'Our highly trained emergency plumbers are available 24/7 to help you.' (https://easonplumbing.com/emergency-plumber/) while posted hours are Mon–Sat 7:00am–5:00pm, Sunday Closed. Emergency page hedges: 'The response time can be from 30 minutes to 2 hours.' / 'This time of arrival also depends on staffing and queue of other plumbing emergencies.' No answering service, call center, or AI receptionist mentioned on the site or in page source. Yelp lists 'Open 24 hours' Mon–Sat (conflict with site hours).</t>
        </is>
      </c>
      <c r="U13" s="9" t="inlineStr"/>
      <c r="V13" s="10" t="inlineStr"/>
      <c r="W13" s="9" t="inlineStr"/>
      <c r="X13" s="10" t="inlineStr"/>
      <c r="Y13" s="9" t="inlineStr"/>
      <c r="Z13" s="10" t="inlineStr"/>
      <c r="AA13" s="11">
        <f>IF(A13="","",IF(OR(V13="Game Plan Call booked",V13="Do not call",V13="Not interested",V13="Email captured (GEO audit)",X13="Game Plan Call booked",X13="Do not call",X13="Not interested",X13="Email captured (GEO audit)",Y13&lt;&gt;""),"Done",IF(W13&lt;&gt;"",W13+3,IF(U13&lt;&gt;"",U13+2,"Call today"))))</f>
        <v/>
      </c>
      <c r="AB13" s="10" t="inlineStr"/>
      <c r="AC13" s="9" t="inlineStr"/>
      <c r="AD13" s="10" t="inlineStr"/>
      <c r="AE13" s="8" t="inlineStr">
        <is>
          <t>https://easonplumbing.com</t>
        </is>
      </c>
      <c r="AF13" s="8" t="inlineStr">
        <is>
          <t>jeremy@easonplumbing.com — belongs to Jeremy Eason (ProvenExpert contact, re-verified 2026-10-13), NOT to Cody Eason; Cody has no published email. Any email must be addressed to Jeremy or to the Eason family, never to Cody at this address.</t>
        </is>
      </c>
    </row>
    <row r="14" ht="110" customHeight="1">
      <c r="A14" s="8" t="inlineStr">
        <is>
          <t>20261012-13</t>
        </is>
      </c>
      <c r="B14" s="8" t="inlineStr">
        <is>
          <t>Marlin James Air Conditioning &amp; Heating</t>
        </is>
      </c>
      <c r="C14" s="8" t="inlineStr">
        <is>
          <t>Scott Clark</t>
        </is>
      </c>
      <c r="D14" s="8" t="inlineStr">
        <is>
          <t>Co-owner / co-founder</t>
        </is>
      </c>
      <c r="E14" s="8" t="inlineStr">
        <is>
          <t>+1 813-689-0817 (site header/contact: "call or text"; Nextdoor; Osprey Observer) — advertised as a text line, so treat as possible cell: manual human dial only, no SMS/AI voice</t>
        </is>
      </c>
      <c r="F14" s="8" t="inlineStr">
        <is>
          <t>+1 813-689-0817 (site header/contact: "call or text"; Nextdoor; Osprey Observer) — advertised as a text line, so treat as possible cell: manual human dial only, no SMS/AI voice</t>
        </is>
      </c>
      <c r="G14" s="8" t="inlineStr">
        <is>
          <t>Valrico</t>
        </is>
      </c>
      <c r="H14" s="8" t="inlineStr">
        <is>
          <t>FL</t>
        </is>
      </c>
      <c r="I14" s="8" t="inlineStr">
        <is>
          <t>ET</t>
        </is>
      </c>
      <c r="J14" s="8" t="inlineStr">
        <is>
          <t>Tue-Thu 8:00-8:30 AM ET, right at office open and before the day's no-cool calls stack up and techs dispatch (site: one line, office 8-5 M-F, 'call or text'; mid-October is still Florida cooling season). Fallback: 4:00-4:45 PM ET when crews are wrapping and the office is still staffed. Scott is still hands-on in the field (Osprey Observer Nov 2024 notes he personally installed a system), so expect to be routed to Glenda Clark (co-owner, runs the accounting, in-office) or Marlin Clark Jr. Stay inside Florida's 8am-8pm calling window; manual dial only.</t>
        </is>
      </c>
      <c r="K14" s="8" t="inlineStr">
        <is>
          <t>Office 8:00 AM-5:00 PM Mon-Fri ET; emergency service available with surcharge (site header/footer). GBP not read; one directory shows 'Open 24 hours' but could not be opened and conflicts with the site.</t>
        </is>
      </c>
      <c r="L14" s="8" t="inlineStr">
        <is>
          <t>One published line, 813-689-0817, advertised as 'call or text', so it may ring a cell: manual human dial only, no SMS or AI voice. No office manager or dispatcher is named anywhere public; the only non-owner staffer in press is Shannon Gluch, maintenance coordinator (company spokesperson in the Oct 2025 Osprey Observer piece), who likely runs Red's Club scheduling and may answer or screen; ask her for a callback slot rather than pitching her. Ownership: Scott Clark (co-owner, hands-on, often in the field), Glenda Clark (co-owner, does the accounting and likely signs the checks, in-office), Marlin Clark Jr. (3rd generation, registered agent). If 'Scott's out on a job', ask for Glenda or Marlin Jr. by name, or ask when Scott is in the office and leave the hook tied to the pulled website form. No answering service, call center or AI receptionist found; after 5 PM it is voicemail or an emergency-surcharge call with no separate number. Email path if needed: office@marlinjames.com (Nextdoor) - generic, address it to Scott and Glenda. Never cite the site's 'A+ BBB' claim (no BBB profile exists) and never quote the Yelp 3.5.</t>
        </is>
      </c>
      <c r="M14" s="8" t="n">
        <v>62</v>
      </c>
      <c r="N14" s="8" t="inlineStr">
        <is>
          <t>Family-Legacy Pride Brand (secondary cue: some modern stack — ServiceTitan text widget, financing, review widget — but not enough for Tech-Forward)</t>
        </is>
      </c>
      <c r="O14" s="8" t="inlineStr">
        <is>
          <t>Voice AI live demo — after-hours/overflow receptionist trained on marlinjames.com, Red's Club and the WWRD story, qualifying no-cool/emergency callers and booking into their existing ServiceTitan; plus missed-call text-back. GEO audit as the second touch once the AI spot-check is run (site has no schema). Do not pitch chat/text — they already run ServiceTitan Text2Chat</t>
        </is>
      </c>
      <c r="P14" s="8" t="inlineStr">
        <is>
          <t>"Hi Scott, this is Sam with Eat 4 Life Marketing. Full disclosure, this is a cold call, so feel free to hang up on me. I was on marlinjames.com and saw you pulled the contact form because of the spam, which means after five o'clock the only door into Marlin James is that one phone line. We build a demo line trained on your own site and Red's Club that picks up the 5:01 no-cool call, gets the name, address and how urgent it is, and books it, and you can call it and hear it before you ever pay a dollar. Can I take 20 seconds to tell you how it works, and you tell me if it's worth a longer look?"</t>
        </is>
      </c>
      <c r="Q14" s="8" t="inlineStr">
        <is>
          <t>Your site says the office is 8 to 5 and emergency service is available, and you pulled the contact form because of spam — so after 5 the only door into Marlin James is the phone. We build a demo line trained on your own site and Red's Club that answers the 5:01pm no-cool call, gets the name, address and urgency, and books it or texts the caller back — you can call it and hear it before anyone pays a dollar. It only takes the calls that already hit voicemail; Shannon and the office keep every call they answer today, and it can book straight into ServiceTitan.</t>
        </is>
      </c>
      <c r="R14" s="8" t="inlineStr">
        <is>
          <t>"We've been doing this 32 years — a real person answers our phone and our customers expect that." Answer: keep it exactly that way 8 to 5; this only catches the calls that already go to voicemail after hours and on weekends, it is trained on your own story so callers still reach Marlin James, and go-live is one call-forwarding rule you can undo with a dial code.</t>
        </is>
      </c>
      <c r="S14" s="8" t="inlineStr">
        <is>
          <t>The Osprey Observer story (Oct 31 2025) on Marlin James and the Lennox Feel The Love program installing new systems for five local families, with maintenance coordinator Shannon Gluch quoted: "Giving back in meaningful ways is part of who we are." Pair with the 32-year / third-generation family story and WWRD. Secondary: Scott's Osprey Observer TV appearance (Jul 2024). URL: https://www.ospreyobserver.com/2025/10/marlin-james-air-conditioning-partners-with-the-lii-lennox-foundation-to-award-five-local-families-with-ac-units/</t>
        </is>
      </c>
      <c r="T14" s="8" t="inlineStr">
        <is>
          <t>Unknown beyond the site: header "Office Hours 8am-5pm M-F" / footer "8am - 5:00pm Mon - Fri" and "Emergency Service: Available Surcharges may apply" with no after-hours number or instructions; "We are always available to you via call or text at (813)689-0817"; no 24/7 claim, no answering-service, call-center or AI-receptionist mention anywhere on the site; GBP hours and after-hours reviews not captured (sources blocked)</t>
        </is>
      </c>
      <c r="U14" s="9" t="inlineStr"/>
      <c r="V14" s="10" t="inlineStr"/>
      <c r="W14" s="9" t="inlineStr"/>
      <c r="X14" s="10" t="inlineStr"/>
      <c r="Y14" s="9" t="inlineStr"/>
      <c r="Z14" s="10" t="inlineStr"/>
      <c r="AA14" s="11">
        <f>IF(A14="","",IF(OR(V14="Game Plan Call booked",V14="Do not call",V14="Not interested",V14="Email captured (GEO audit)",X14="Game Plan Call booked",X14="Do not call",X14="Not interested",X14="Email captured (GEO audit)",Y14&lt;&gt;""),"Done",IF(W14&lt;&gt;"",W14+3,IF(U14&lt;&gt;"",U14+2,"Call today"))))</f>
        <v/>
      </c>
      <c r="AB14" s="10" t="inlineStr"/>
      <c r="AC14" s="9" t="inlineStr"/>
      <c r="AD14" s="10" t="inlineStr"/>
      <c r="AE14" s="8" t="inlineStr">
        <is>
          <t>https://www.marlinjames.com/</t>
        </is>
      </c>
      <c r="AF14" s="8" t="inlineStr">
        <is>
          <t>Not found</t>
        </is>
      </c>
    </row>
    <row r="15" ht="110" customHeight="1">
      <c r="A15" s="8" t="inlineStr">
        <is>
          <t>20261012-14</t>
        </is>
      </c>
      <c r="B15" s="8" t="inlineStr">
        <is>
          <t>Efficiency Garage Door Service</t>
        </is>
      </c>
      <c r="C15" s="8" t="inlineStr">
        <is>
          <t>Casey Tynan</t>
        </is>
      </c>
      <c r="D15" s="8" t="inlineStr">
        <is>
          <t>Owner</t>
        </is>
      </c>
      <c r="E15" s="8" t="inlineStr">
        <is>
          <t>Not found (only the main line 303-759-3437 appears on site, BBB and LinkedIn)</t>
        </is>
      </c>
      <c r="F15" s="8" t="inlineStr">
        <is>
          <t>+1 303-759-3437</t>
        </is>
      </c>
      <c r="G15" s="8" t="inlineStr">
        <is>
          <t>Denver</t>
        </is>
      </c>
      <c r="H15" s="8" t="inlineStr">
        <is>
          <t>CO</t>
        </is>
      </c>
      <c r="I15" s="8" t="inlineStr">
        <is>
          <t>America/Denver (Mountain Time)</t>
        </is>
      </c>
      <c r="J15" s="8" t="inlineStr">
        <is>
          <t>Tue-Thu 8:00-8:30 AM MT, right at service-hours open before trucks dispatch (trades window per playbook); fallback Tue-Thu 4:00-4:45 PM MT, after the showroom closes at 4 but the service line is still staffed until 5, when the owner is more likely back near the phone. Avoid Saturday (noon close) and Monday mornings (weekend backlog). No review evidence yet on whether Casey personally answers the line — Sam to record who answers.</t>
        </is>
      </c>
      <c r="K15" s="8" t="inlineStr">
        <is>
          <t>Service: Mon-Fri 8:00am-5:00pm, Sat 8:00am-12:00pm; Showroom: Mon-Fri 8:00am-4:00pm, Sat 8:00am-12:00pm; closed Sunday (source: https://www.egds.com/ and https://www.egds.com/contact/; GBP hours not verified this run)</t>
        </is>
      </c>
      <c r="L15" s="8" t="inlineStr">
        <is>
          <t>No office manager, dispatcher or CSR named anywhere (site has no team page; BBB "Customer Contacts" blank; LinkedIn shows no people). During showroom hours (Mon-Fri 8-4, Sat 8-12) a showroom/counter person likely answers 303-759-3437; service line runs to 5pm. Ask for Casey by full name — "Casey Tynan, the owner" (he's listed on BBB as President/CEO) — and if he's on a job, ask when he's usually back at the showroom rather than leaving a message. Casey's own email is the only published contact, so an email to casey@egds.com reaches him directly without a gatekeeper. No owner cell published; do not text the main line.</t>
        </is>
      </c>
      <c r="M15" s="8" t="n">
        <v>62</v>
      </c>
      <c r="N15" s="8" t="inlineStr">
        <is>
          <t>Family-Legacy Pride Brand (medium confidence; 4 signals across 2 source categories). Secondary: Overwhelmed Owner-Operator — unconfirmed because Google/Yelp reviews were unreachable.</t>
        </is>
      </c>
      <c r="O15" s="8" t="inlineStr">
        <is>
          <t>Voice AI live demo built from egds.com (generic home-services template: trade = garage door repair, problem = door stuck / spring snapped with the car inside, after 5pm or Sunday) + missed-call text-back. Lead with after-hours and overflow coverage; position as catching only the calls that already go to voicemail. GEO audit as the second ask once D4 is actually run.</t>
        </is>
      </c>
      <c r="P15" s="8" t="inlineStr">
        <is>
          <t>"Hi, is this Casey? Casey, it's Sam with Eat 4 Life Marketing — this is a cold call, so feel free to hang up, but give me twenty seconds. I was on egds.com: you took over from Bob Hershey back in 2017, and the site promises same-day and emergency service, but the hours stop at five and Saturday at noon. My question is who picks up when somebody's door is stuck with the car inside at seven on a Saturday night — you, voicemail, or nobody? We build an AI receptionist trained on your own company that answers those calls, books the service call, and texts back anything that gets missed — and you can call a demo line and hear it before you pay a dollar. Can I take twenty minutes with you this week, or would you rather I email you the demo number first?"</t>
        </is>
      </c>
      <c r="Q15" s="8" t="inlineStr">
        <is>
          <t>Missed-call / after-hours coverage. Hook: the site sells "Same-Day and Emergency Service" but the published hours stop at 5pm weekdays and noon Saturday, and the only booking path is the phone or Casey's own inbox. Offer: a demo line already trained on egds.com that answers the "my door is stuck and my car is inside" call at 7pm, qualifies it, and books the service window — or texts back any missed call in under a minute. Frame as protecting a 63-year name (callers still reach "Efficiency," answered the way Bob Hershey would have wanted), not replacing showroom staff. Go-live is one conditional call-forwarding rule; rollback is one dial code. Close on the 20-minute Game Plan Call.</t>
        </is>
      </c>
      <c r="R15" s="8" t="inlineStr">
        <is>
          <t>"After hours the calls come to my cell anyway / we're a small shop and we handle it." Response: then nothing changes for the calls he catches — the agent only takes the ones that already ring out or hit voicemail while he's on a job or the showroom is closed, and he can hear it on the demo number before paying anything. Secondary: "I already have a web guy (Tree Ring Digital)." Response: this isn't a website — it answers the phone and books; it plugs in beside the site they already pay for.</t>
        </is>
      </c>
      <c r="S15" s="8" t="inlineStr">
        <is>
          <t>The 2017 takeover of a 1963 business: Casey is 9+ years in and February 2027 is his 10-year ownership anniversary; the About page frames it as carrying Bob Hershey's 50-year legacy forward. Pair that with the site's own "Same-Day and Emergency Service" promise vs. 8-5 / Sat-to-noon hours (https://www.egds.com/about-efficiency-garage-door-service/, https://www.egds.com/contact/).</t>
        </is>
      </c>
      <c r="T15" s="8" t="inlineStr">
        <is>
          <t>hours_only (per site). Service hours end 5pm weekdays, noon Saturday, closed Sunday, yet the site says "We provide Same-Day and Emergency Service to residents of the Denver Metro and surrounding areas" and "Our highly qualified staff specializes in same day service and after-hour accommodations" (https://www.egds.com/); contact page hedges: "Emergency Service Available for Additional Charge" and "Same-day service when available." (https://www.egds.com/contact/). No 24/7 claim, no answering service, call center, or AI receptionist found in page source. Who actually answers after 5pm: Not found — Sam to record on first dial.</t>
        </is>
      </c>
      <c r="U15" s="9" t="inlineStr"/>
      <c r="V15" s="10" t="inlineStr"/>
      <c r="W15" s="9" t="inlineStr"/>
      <c r="X15" s="10" t="inlineStr"/>
      <c r="Y15" s="9" t="inlineStr"/>
      <c r="Z15" s="10" t="inlineStr"/>
      <c r="AA15" s="11">
        <f>IF(A15="","",IF(OR(V15="Game Plan Call booked",V15="Do not call",V15="Not interested",V15="Email captured (GEO audit)",X15="Game Plan Call booked",X15="Do not call",X15="Not interested",X15="Email captured (GEO audit)",Y15&lt;&gt;""),"Done",IF(W15&lt;&gt;"",W15+3,IF(U15&lt;&gt;"",U15+2,"Call today"))))</f>
        <v/>
      </c>
      <c r="AB15" s="10" t="inlineStr"/>
      <c r="AC15" s="9" t="inlineStr"/>
      <c r="AD15" s="10" t="inlineStr"/>
      <c r="AE15" s="8" t="inlineStr">
        <is>
          <t>https://www.egds.com</t>
        </is>
      </c>
      <c r="AF15" s="8" t="inlineStr">
        <is>
          <t>casey@egds.com</t>
        </is>
      </c>
    </row>
    <row r="16" ht="110" customHeight="1">
      <c r="A16" s="8" t="inlineStr">
        <is>
          <t>20261012-15</t>
        </is>
      </c>
      <c r="B16" s="8" t="inlineStr">
        <is>
          <t>Fowler Orthodontics</t>
        </is>
      </c>
      <c r="C16" s="8" t="inlineStr">
        <is>
          <t>Chad Fowler</t>
        </is>
      </c>
      <c r="D16" s="8" t="inlineStr">
        <is>
          <t>Orthodontist</t>
        </is>
      </c>
      <c r="E16" s="8" t="inlineStr">
        <is>
          <t>+1 615-591-4770</t>
        </is>
      </c>
      <c r="F16" s="8" t="inlineStr">
        <is>
          <t>+1 615-591-4770</t>
        </is>
      </c>
      <c r="G16" s="8" t="inlineStr">
        <is>
          <t>Franklin</t>
        </is>
      </c>
      <c r="H16" s="8" t="inlineStr">
        <is>
          <t>TN</t>
        </is>
      </c>
      <c r="I16" s="8" t="inlineStr">
        <is>
          <t>CT</t>
        </is>
      </c>
      <c r="J16" s="8" t="inlineStr">
        <is>
          <t>Tue-Thu 8:45-9:30 AM CT (6:45-7:30 AM PT) right as the office opens, before Dr. Fowler is chairside, with a fallback at 4:30-5:00 PM CT as the last patients leave. Reason: it is a one-doctor practice, so he is in the clinic most of the day; the front-desk seat is open, so mid-day calls are more likely to go unanswered. Do not call Friday; the office is closed per the site and the call will only hit voicemail.</t>
        </is>
      </c>
      <c r="K16" s="8" t="inlineStr">
        <is>
          <t>Mon-Thu 9:00 AM-5:00 PM CT per fowlerortho.com/office-location; Friday, Saturday and Sunday are not listed (treat as closed). Google Business Profile could not be opened to confirm.</t>
        </is>
      </c>
      <c r="L16" s="8" t="inlineStr">
        <is>
          <t>No team page and no staff names anywhere public; the appointment page refers only to "our scheduling coordinator." The Front Desk Coordinator seat is currently vacant (posting live), so expect a clinical assistant or treatment coordinator to pick up, or voicemail; no answering service, after-hours line or owner cell is published. Ask for Dr. Fowler by name (he is the only doctor and the PLLC is in his name). If he is chairside, do not pitch the staffer; ask when he is off the chair (opening or 4:30 PM CT) and whether he prefers email. He personally reads drfowler@fowlerortho.com because it is the published resume inbox, so a follow-up email with the free AI-visibility audit lands with him directly; use a non-recruiting subject so it is not filed as an application. Incumbent vendor is Sesame (website/reminders) with Ortho2 practice management; do not open with a website rebuild.</t>
        </is>
      </c>
      <c r="M16" s="8" t="n">
        <v>61</v>
      </c>
      <c r="N16" s="8" t="inlineStr">
        <is>
          <t>Unclear (leans Growth-Minded Operator / Tech-Forward Early Adopter; evidence is website-only, below the 2-source threshold)</t>
        </is>
      </c>
      <c r="O16" s="8" t="inlineStr">
        <is>
          <t>Free GEO audit (per Chosen's dental matrix), paired with a live voice-receptionist demo built from fowlerortho.com as the proof lever (D2 = 9, site scrapable). demo_build = yes; run_geo_audit = yes (D4 unscored - audit is the only way to seed the "Named in X of 28" line).</t>
        </is>
      </c>
      <c r="P16" s="8" t="inlineStr">
        <is>
          <t>"Dr. Fowler? Sam with Eat 4 Life Marketing. Straight up, this is a cold call, so feel free to hang up on me. I saw on fowlerortho.com you're hiring a Front Desk Coordinator to welcome new patients and schedule appointments. Here's why I called: while that seat's open, and on Fridays when you're closed, new-patient calls hit voicemail, and that parent just calls the next orthodontist on Google. We build an AI receptionist trained on your own website that answers every one of those calls and books the consult, and you test it on a demo line before you pay a dollar. Can I take twenty seconds to explain, and you tell me if it's worth a 20-minute call with Sebastian?"</t>
        </is>
      </c>
      <c r="Q16" s="8" t="inlineStr">
        <is>
          <t>Dr. Fowler runs a one-doctor Mon-Thu office and is hiring the person who answers the phone, so a share of new-patient and emergency calls are landing somewhere other than a human right now. Lead with the free check: we ask ChatGPT, Gemini and Perplexity who the best orthodontist in Franklin is and send him the screenshots of who gets named, no charge. Then offer the demo line built from his own website he can call himself; an engineer-turned-orthodontist will want to test it, not hear about it.</t>
        </is>
      </c>
      <c r="R16" s="8" t="inlineStr">
        <is>
          <t>"We already use Sesame for our website and reminders." Answer: keep Sesame; this sits beside it and only covers the two things it doesn't - the calls nobody answers after hours and whether AI assistants name you - and the audit is free either way.</t>
        </is>
      </c>
      <c r="S16" s="8" t="inlineStr">
        <is>
          <t>The live Front Desk Coordinator opening on his own site, applied for via his personal address: duties are "welcoming both new and current patients, scheduling appointments" and "maintaining communication with patients" - https://www.fowlerortho.com/front-desk-coordinator. Secondary hook: former NASA flight controller turned orthodontist (meet-dr page) - frame the demo as something an engineer can test.</t>
        </is>
      </c>
      <c r="T16" s="8" t="inlineStr">
        <is>
          <t>Not stated. Site hours are "Monday 9:00am to 5:00pm" through "Thursday 9:00am to 5:00pm"; Friday, Saturday, Sunday not listed (https://www.fowlerortho.com/office-location). Emergency Care page only says "you should call our office when you experience severe pain" / "call our office as soon as possible" with no after-hours line, voicemail instruction, answering service or 24/7 phone claim (https://www.fowlerortho.com/emergency-care). "Online access to our office 24/7" refers to the patient portal, not the phone. What happens to a call after 5pm or on Friday is unknown.</t>
        </is>
      </c>
      <c r="U16" s="9" t="inlineStr"/>
      <c r="V16" s="10" t="inlineStr"/>
      <c r="W16" s="9" t="inlineStr"/>
      <c r="X16" s="10" t="inlineStr"/>
      <c r="Y16" s="9" t="inlineStr"/>
      <c r="Z16" s="10" t="inlineStr"/>
      <c r="AA16" s="11">
        <f>IF(A16="","",IF(OR(V16="Game Plan Call booked",V16="Do not call",V16="Not interested",V16="Email captured (GEO audit)",X16="Game Plan Call booked",X16="Do not call",X16="Not interested",X16="Email captured (GEO audit)",Y16&lt;&gt;""),"Done",IF(W16&lt;&gt;"",W16+3,IF(U16&lt;&gt;"",U16+2,"Call today"))))</f>
        <v/>
      </c>
      <c r="AB16" s="10" t="inlineStr"/>
      <c r="AC16" s="9" t="inlineStr"/>
      <c r="AD16" s="10" t="inlineStr"/>
      <c r="AE16" s="8" t="inlineStr">
        <is>
          <t>https://www.fowlerortho.com/</t>
        </is>
      </c>
      <c r="AF16" s="8" t="inlineStr">
        <is>
          <t>drfowler@fowlerortho.com</t>
        </is>
      </c>
    </row>
    <row r="17" ht="110" customHeight="1">
      <c r="A17" s="8" t="inlineStr">
        <is>
          <t>20261012-16</t>
        </is>
      </c>
      <c r="B17" s="8" t="inlineStr">
        <is>
          <t>ABR Electric, LLC</t>
        </is>
      </c>
      <c r="C17" s="8" t="inlineStr">
        <is>
          <t>James Adams</t>
        </is>
      </c>
      <c r="D17" s="8" t="inlineStr">
        <is>
          <t>President / Managing Member</t>
        </is>
      </c>
      <c r="E17" s="8" t="inlineStr">
        <is>
          <t>Not found (only the main line +1 214-690-1941 appears on site, BBB, BuildZoom, directories; BBB lists it as "call or text")</t>
        </is>
      </c>
      <c r="F17" s="8" t="inlineStr">
        <is>
          <t>+1 214-690-1941</t>
        </is>
      </c>
      <c r="G17" s="8" t="inlineStr">
        <is>
          <t>McKinney</t>
        </is>
      </c>
      <c r="H17" s="8" t="inlineStr">
        <is>
          <t>TX</t>
        </is>
      </c>
      <c r="I17" s="8" t="inlineStr">
        <is>
          <t>America/Chicago (Central Time)</t>
        </is>
      </c>
      <c r="J17" s="8" t="inlineStr">
        <is>
          <t>Tue–Thu 8:00–8:45 AM CT — inside both the site's 7AM–7PM hours and the narrower 8AM–4PM hours directories show from the Google listing, and before crews dispatch to jobs; a customer review on the company's own review page names "Wendy in the office" as the person keeping customers updated, so expect a staffed office line, not the owner. Fallback: Tue–Thu 3:00–3:45 PM CT, before the 4 PM directory-listed close. Never Sat/Sun (closed).</t>
        </is>
      </c>
      <c r="K17" s="8" t="inlineStr">
        <is>
          <t>Site: "Mon–Fri: 7AM–7PM / Sat–Sun: Closed" (https://abrelectric.com/ and https://abrelectric.com/contact/; JSON-LD openingHoursSpecification Mon–Fri 07:00–19:00). CONFLICT: Google-listing-sourced directory (serviceagent.ai) shows Monday 9 AM–4 PM, Tue–Fri 8 AM–4 PM, Sat–Sun closed. Live GBP not fetched — verify before Sam dials.</t>
        </is>
      </c>
      <c r="L17" s="8" t="inlineStr">
        <is>
          <t>Main line +1 214-690-1941 is a staffed office line during the day: a review on the company's own review page says "Wendy in the office kept me in the loop" and another says "The office and technician both notified me the tech would arrive earlier" (https://abrelectric.com/review/) — expect Wendy or another office staffer to answer; open with "Hi Wendy, is James around this morning?" Decision-makers: James Adams (owner, President/Managing Member, Master Electrician) and Nathan Tiner (COO per BBB; a site review names "Nathan" walking a customer through Tesla charger panel options, so he is hands-on with quotes and the natural champion/forward-to person). Cynthia E. Adams is listed as Managing Member on BBB (co-owner on the business record). No owner cell or direct line published. BBB lists the main number as "call or text" — manual human dial only; no SMS, autodial, or AI voice without consent. No answering service, IVR, or AI receptionist is mentioned anywhere; Sam should log who/what answers (human, voicemail, IVR) on the first dial, including an optional after-7PM dial to confirm the gap.</t>
        </is>
      </c>
      <c r="M17" s="8" t="n">
        <v>60</v>
      </c>
      <c r="N17" s="8" t="inlineStr">
        <is>
          <t>Growth-Minded Operator (secondary: Tech-Forward Early Adopter)</t>
        </is>
      </c>
      <c r="O17" s="8" t="inlineStr">
        <is>
          <t>Voice AI live demo (DEMO PATH, call-first): build the demo line from abrelectric.com before Sam dials so he can give James/Nathan a number to call and try to break; pair with missed-call text-back for the Sat–Sun and post-7PM gap. Second touch after a reply: the free AI Search Visibility audit (run D4 first — they already monitor AI/SEO visibility, so bring real screenshots, not a generic claim).</t>
        </is>
      </c>
      <c r="P17" s="8" t="inlineStr">
        <is>
          <t>"Hi, is this James? This is Sam with Eat 4 Life Marketing — I'll be upfront, this is a cold call, so feel free to cut me off. I was on ABR Electric's site last night: hours say Monday to Friday 7 to 7, closed weekends, and nothing about who picks up after that. A lot of the panel-upgrade and EV-charger calls you're already paying for come in Saturday morning or at 8 at night. We build a demo receptionist trained on your own website — it answers those calls, sorts out the real emergencies, and books the estimate — and you can call it and try to break it before you ever pay a dollar. Can I take 20 seconds to tell you how it works, and you tell me if it's worth a look?"</t>
        </is>
      </c>
      <c r="Q17" s="8" t="inlineStr">
        <is>
          <t>Missed-call / after-hours coverage, demo-first. Facts it rests on: (1) hours "Mon–Fri 7AM–7PM, Sat–Sun Closed" with no after-hours answering anywhere; (2) phone is the primary CTA and the contact page sends emergencies to the phone; (3) the calls at stake are $6k–$8k panel upgrades, EV chargers and Generac installs (their own published pricing). Pitch: a receptionist trained on abrelectric.com that picks up what already rings out — evenings, weekends, and when Wendy's line is busy — triages real safety emergencies (sparking, burning smell), captures name/number/job/urgency and books the estimate; go-live is one conditional call-forwarding rule, rollback one dial code; nothing to pay before they hear it. Do not pitch replacing the office; position as overflow + after-hours only. Secondary angle (second touch): AI search visibility — they already run schema and a blog, so "here is who ChatGPT names for EV charger installer in McKinney" is a peer-level conversation, but only after the audit is actually run.</t>
        </is>
      </c>
      <c r="R17" s="8" t="inlineStr">
        <is>
          <t>"We already have an office that answers, our reviews say communication is great, and I don't want a robot talking to my customers." (Evidence: reviews on their own site praise "the office" calling ahead; the owner's brand is "done right" and honesty.) Handling: agree — it is not for the calls they already answer; it only catches the ones that already go to voicemail after 7, on weekends, and when the line is busy, and the caller still gets a human callback, just with the job already qualified and on the calendar. Then hand him the demo number: "You teach people to test the breaker — call it and try to break it." Secondary objection: "AI receptionist vendors already call me" (they appear in an AI-receptionist vendor's directory) — differentiate on the demo built from their own site before any payment and no long contract.</t>
        </is>
      </c>
      <c r="S17" s="8" t="inlineStr">
        <is>
          <t>The Oct 7, 2026 blog/video "Whole House Surge Protection with Vortexx" (https://abrelectric.com/blog/) and the home-page-embedded YouTube video "Fear Selling: How Electrical Companies Manipulate Homeowners" — recent, public, positive, and about his own voice as an educator; backup: "Nearly 12,000 subscribers tune in for real electrical education" (https://abrelectric.com/about-us/). Pair with the neutral phone-process observation (hours close at 7 and weekends).</t>
        </is>
      </c>
      <c r="T17" s="8" t="inlineStr">
        <is>
          <t>hours_only — Site: "Mon–Fri: 7AM–7PM / Sat–Sun: Closed" (home + contact pages; JSON-LD Mon–Fri 07:00–19:00). No 24/7, emergency line, after-hours number, answering service, call center, or AI receptionist mentioned anywhere on the site or in page source. Contact page: "For an active electrical emergency, call rather than waiting on a form response." and "Clear information helps us prepare the right questions before we call." (https://abrelectric.com/contact/). Google-listing-sourced directory hours are even narrower (Mon 9–4, Tue–Fri 8–4; serviceagent.ai). Who answers after 7 PM / weekends: not stated = the gap.</t>
        </is>
      </c>
      <c r="U17" s="9" t="inlineStr"/>
      <c r="V17" s="10" t="inlineStr"/>
      <c r="W17" s="9" t="inlineStr"/>
      <c r="X17" s="10" t="inlineStr"/>
      <c r="Y17" s="9" t="inlineStr"/>
      <c r="Z17" s="10" t="inlineStr"/>
      <c r="AA17" s="11">
        <f>IF(A17="","",IF(OR(V17="Game Plan Call booked",V17="Do not call",V17="Not interested",V17="Email captured (GEO audit)",X17="Game Plan Call booked",X17="Do not call",X17="Not interested",X17="Email captured (GEO audit)",Y17&lt;&gt;""),"Done",IF(W17&lt;&gt;"",W17+3,IF(U17&lt;&gt;"",U17+2,"Call today"))))</f>
        <v/>
      </c>
      <c r="AB17" s="10" t="inlineStr"/>
      <c r="AC17" s="9" t="inlineStr"/>
      <c r="AD17" s="10" t="inlineStr"/>
      <c r="AE17" s="8" t="inlineStr">
        <is>
          <t>https://abrelectric.com</t>
        </is>
      </c>
      <c r="AF17" s="8" t="inlineStr">
        <is>
          <t>Not found</t>
        </is>
      </c>
    </row>
    <row r="18" ht="110" customHeight="1">
      <c r="A18" s="8" t="inlineStr">
        <is>
          <t>20261012-17</t>
        </is>
      </c>
      <c r="B18" s="8" t="inlineStr">
        <is>
          <t>ABE'S Electric, Inc.</t>
        </is>
      </c>
      <c r="C18" s="8" t="inlineStr">
        <is>
          <t>Abraham Valentin</t>
        </is>
      </c>
      <c r="D18" s="8" t="inlineStr">
        <is>
          <t>Owner</t>
        </is>
      </c>
      <c r="E18" s="8" t="inlineStr">
        <is>
          <t>+1 407-343-0220 (Central FL main line, 28 tel: links on site); +1 941-417-8333 (West FL / Bradenton line, footer); BBB also lists +1 877-407-2237 (toll-free, possibly legacy) and fax 866-888-9871</t>
        </is>
      </c>
      <c r="F18" s="8" t="inlineStr">
        <is>
          <t>+1 407-343-0220 (Central FL main line, 28 tel: links on site); +1 941-417-8333 (West FL / Bradenton line, footer); BBB also lists +1 877-407-2237 (toll-free, possibly legacy) and fax 866-888-9871</t>
        </is>
      </c>
      <c r="G18" s="8" t="inlineStr">
        <is>
          <t>Kissimmee</t>
        </is>
      </c>
      <c r="H18" s="8" t="inlineStr">
        <is>
          <t>FL</t>
        </is>
      </c>
      <c r="I18" s="8" t="inlineStr">
        <is>
          <t>America/New_York (Eastern)</t>
        </is>
      </c>
      <c r="J18" s="8" t="inlineStr">
        <is>
          <t>Tue–Thu 8:00–8:30 AM ET — the shop opens 7:30 and the site says "Call now and talk to someone in the shop," so a human is on the line before crews are dispatched; start at 8:00, not 7:30, because Florida's telemarketing window is 8 AM–8 PM. Second window Tue–Thu 4:00–4:50 PM ET before the 5:00 close. Avoid Mondays (post-weekend backlog) and Fridays after 3.</t>
        </is>
      </c>
      <c r="K18" s="8" t="inlineStr">
        <is>
          <t>Mon–Fri 7:30 AM–5:00 PM ET; Sat–Sun not listed (site footer and JSON-LD openingHoursSpecification Mon–Fri 07:30–17:00 at https://www.abeselectric.com/; GBP hours not reachable this run)</t>
        </is>
      </c>
      <c r="L18" s="8" t="inlineStr">
        <is>
          <t>The main line (407) 343-0220 is answered in-house during 7:30–5 ("you'll speak with a real person, not a call center"; "Someone in the shop reads these"). No dispatcher or office manager is named anywhere public. On-site Google reviews pair "Lisa and Abe" as the people who "were excellent providing the information I needed" — Lisa is likely the office-side contact; BBB lists Lelia Valentin as President. Do NOT assume Lisa = Lelia; ask "Is Abe in the shop, or is Lisa the better person for the office side?" The (941) 417-8333 West FL line and BBB's (877) 407-2237 are alternates, not owner lines. No answering service, IVR or AI agent detected; after 5 PM expect voicemail (unconfirmed — log what actually answers).</t>
        </is>
      </c>
      <c r="M18" s="8" t="n">
        <v>60</v>
      </c>
      <c r="N18" s="8" t="inlineStr">
        <is>
          <t>Growth-Minded Operator (medium confidence: 3 signals across 2 source categories); secondary: Family-Legacy Pride Brand</t>
        </is>
      </c>
      <c r="O18" s="8" t="inlineStr">
        <is>
          <t>Voice AI live demo — build the demo line from abeselectric.com (demo_build = yes; D2 = 15, phone-first, scrapable site); pair with missed-call text-back. Run the free GEO audit as the second touch only after the D4 spot-check (no FAQPage schema = easy wedge).</t>
        </is>
      </c>
      <c r="P18" s="8" t="inlineStr">
        <is>
          <t>"Hi, is this Abe? Sam with Eat 4 Life Marketing — I'll be honest, this is a cold call, so feel free to hang up on me. I'm calling because your site says 'call now and talk to someone in the shop,' and the shop closes at five — I'm curious who catches the panel-upgrade and generator calls that come in after that, or while everyone's out on a job. We build a receptionist line trained on your own website that you can call and test before anyone pays a dollar. Can I take twenty seconds to explain, and you tell me if it's worth a longer look?"</t>
        </is>
      </c>
      <c r="Q18" s="8" t="inlineStr">
        <is>
          <t>After-hours and on-the-ladder coverage, not "AI": a receptionist line trained on abeselectric.com that only picks up what already goes to voicemail — after 5, weekends, and while the crew is on a job — qualifies the caller (name, number, job, urgency) and books the estimate; the shop still answers live 7:30–5. Tie it to what is on their own site: hiring three electricians and pushing generators for hurricane season means more inbound than one shop line can catch. Proof lever: "you can call the demo line and try to break it before anyone pays a dollar." Go-live is one conditional call-forwarding rule for missed/busy calls; rollback is one dial code.</t>
        </is>
      </c>
      <c r="R18" s="8" t="inlineStr">
        <is>
          <t>"We answer our own phones — a real person, not a call center" (it is on their homepage). Answer: nothing changes during 7:30–5; this only catches the calls that already hit voicemail after 5, on weekends, or when the shop line is busy, and it books them instead of losing them. Secondary: "most of our work is repeat/referral and commercial GC work" — agree, then point out the residential panel/EV/generator caller is the one who dials the next Google result when nobody picks up.</t>
        </is>
      </c>
      <c r="S18" s="8" t="inlineStr">
        <is>
          <t>The site is brand-new for 2026 and still being filled in (Resources page: "Guides Are On The Way ... Until they're published ... call the shop") while they are hiring a Journeyman, an Apprentice and a Service Technician and pushing generators for hurricane season — i.e. they are investing in web presence and capacity right now, and every page still routes to "call the shop" during Mon–Fri 7:30–5. Source: https://www.abeselectric.com/resources, https://www.abeselectric.com/employment, https://www.abeselectric.com/services/generators</t>
        </is>
      </c>
      <c r="T18" s="8" t="inlineStr">
        <is>
          <t>hours_only — "Mon–Fri 7:30am–5:00pm"; no 24/7, emergency, after-hours, answering-service or AI-receptionist mention anywhere on the site or in page source; estimate requests are "read ... and call you back"; the site explicitly positions a human in the shop ("not a call center"). Evenings and weekends have no stated coverage.</t>
        </is>
      </c>
      <c r="U18" s="9" t="inlineStr"/>
      <c r="V18" s="10" t="inlineStr"/>
      <c r="W18" s="9" t="inlineStr"/>
      <c r="X18" s="10" t="inlineStr"/>
      <c r="Y18" s="9" t="inlineStr"/>
      <c r="Z18" s="10" t="inlineStr"/>
      <c r="AA18" s="11">
        <f>IF(A18="","",IF(OR(V18="Game Plan Call booked",V18="Do not call",V18="Not interested",V18="Email captured (GEO audit)",X18="Game Plan Call booked",X18="Do not call",X18="Not interested",X18="Email captured (GEO audit)",Y18&lt;&gt;""),"Done",IF(W18&lt;&gt;"",W18+3,IF(U18&lt;&gt;"",U18+2,"Call today"))))</f>
        <v/>
      </c>
      <c r="AB18" s="10" t="inlineStr"/>
      <c r="AC18" s="9" t="inlineStr"/>
      <c r="AD18" s="10" t="inlineStr"/>
      <c r="AE18" s="8" t="inlineStr">
        <is>
          <t>https://www.abeselectric.com</t>
        </is>
      </c>
      <c r="AF18" s="8" t="inlineStr">
        <is>
          <t>contact@abeselectric.com</t>
        </is>
      </c>
    </row>
    <row r="19" ht="110" customHeight="1">
      <c r="A19" s="8" t="inlineStr">
        <is>
          <t>20261012-18</t>
        </is>
      </c>
      <c r="B19" s="8" t="inlineStr">
        <is>
          <t>FloBeds</t>
        </is>
      </c>
      <c r="C19" s="8" t="inlineStr">
        <is>
          <t>Dave Turner</t>
        </is>
      </c>
      <c r="D19" s="8" t="inlineStr">
        <is>
          <t>Owner / Board Chair</t>
        </is>
      </c>
      <c r="E19" s="8" t="inlineStr">
        <is>
          <t>+1 800-356-2337 (sales, "Live Person 8am–5pm PT"); +1 707-964-5700 (local line, site footer); BBB profile lists a third number, +1 707-964-3356</t>
        </is>
      </c>
      <c r="F19" s="8" t="inlineStr">
        <is>
          <t>+1 800-356-2337 (sales, "Live Person 8am–5pm PT"); +1 707-964-5700 (local line, site footer); BBB profile lists a third number, +1 707-964-3356</t>
        </is>
      </c>
      <c r="G19" s="8" t="inlineStr">
        <is>
          <t>Fort Bragg</t>
        </is>
      </c>
      <c r="H19" s="8" t="inlineStr">
        <is>
          <t>CA</t>
        </is>
      </c>
      <c r="I19" s="8" t="inlineStr">
        <is>
          <t>PT</t>
        </is>
      </c>
      <c r="J19" s="8" t="inlineStr">
        <is>
          <t>Tue–Thu 8:15–9:30 AM PT, right after the live line opens and before showroom walk-ins and the day's order calls; on-site reviews (Linda N., Sep 10, 2026; Pedro M., Sep 27, 2026) say Dewey personally takes phone orders on 1-800-356-2337, so the main line reaches the decision-maker directly. Backup window 1:30–3:00 PM PT. Avoid Saturday (showroom-only day, likely Liz on sales) and the 4–5 PM PT shipping-cutoff rush.</t>
        </is>
      </c>
      <c r="K19" s="8" t="inlineStr">
        <is>
          <t>Showroom/office Mon–Fri 8:00 AM–5:00 PM, Sat 10:00 AM–5:00 PM, closed Sun (site footer, flobeds.com). Sales line 1-800-356-2337 staffed 'Live Person 8am–5pm PT' (site header). Google Business Profile hours not retrievable this session; BBB lists no hours.</t>
        </is>
      </c>
      <c r="L19" s="8" t="inlineStr">
        <is>
          <t>1-800-356-2337 is answered by a live person 8–5 PT and, per Sep 2026 reviews, often by Dewey Turner himself (President, day-to-day decision-maker; one reviewer calls him 'the owner') — so the 'gatekeeper' may be the target. The likely non-family voice is Liz Hicks (Sales &amp; Shipping since 2023; About page says she handles communications from the 3 warehouses) — ask for Dewey by name, or Dave if Dewey is in production. Anne Turner (Owner/VP, books since 1979) sees any invoice. No answering service, no owner cell, no chat/text widget published. Local line 707-964-5700 is on the site; BBB-listed (707) 964-3356 is not on the site — use the 800 number first. Email fallback: info@flobeds.com with 'For Dewey' in line one.</t>
        </is>
      </c>
      <c r="M19" s="8" t="n">
        <v>59</v>
      </c>
      <c r="N19" s="8" t="inlineStr">
        <is>
          <t>Family-Legacy Pride Brand (secondary: Tech-Forward Early Adopter)</t>
        </is>
      </c>
      <c r="O19" s="8" t="inlineStr">
        <is>
          <t>Free GEO audit on ecommerce money questions — "best latex mattress for side sleepers", "best customizable latex mattress", "best natural Talalay latex mattress", "where to buy a latex mattress with adjustable firmness" — across ChatGPT/Perplexity/Gemini with screenshots, plus speed-to-lead: missed-call text-back on 1-800-FloBeds after 5pm PT and an instant reply to the contact-form/email inquiries. Position voice AI only as after-hours overflow that hands off to their "Live Person" at 8am — never as a replacement. FAQ/Product schema on the existing FAQ page is the natural first deliverable.</t>
        </is>
      </c>
      <c r="P19" s="8" t="inlineStr">
        <is>
          <t>"Dewey? Sam with Eat 4 Life Marketing — this is a cold call, so feel free to hang up on me. I was on flobeds.com and saw 'Live Person 8 to 5 Pacific' right in the header. You ship nationwide, so the East Coast shopper picking her firmness for each side at 9 PM gets voicemail. We text back every missed call and web inquiry in under a minute, so she doesn't drift to the next brand before you open. Can I take 20 seconds to explain how it works, and you tell me if it's worth a longer conversation?" (If Dave Turner answers, same opener with his name — he is Owner/Board Chair and a former Fort Bragg mayor.)</t>
        </is>
      </c>
      <c r="Q19" s="8" t="inlineStr">
        <is>
          <t>"Dewey, Sam with Eat 4 Life Marketing. Two quick things: when someone asks ChatGPT or Perplexity for the best customizable latex mattress, we check which brands get named — we'll run that for FloBeds free and send you the screenshots. And your site says live person 8 to 5 Pacific; we set up a system that texts back every missed call and web inquiry inside a minute, so the evening and Sunday shoppers who are halfway through choosing a firmness don't drift to the next brand before you open." Close on the 20-minute Game Plan Call or the email for the audit.</t>
        </is>
      </c>
      <c r="R19" s="8" t="inlineStr">
        <is>
          <t>"We've got 1,248 reviews and Forbes called us the best — people find us, and a family business doesn't want a robot talking to customers." Answer: nothing touches your live person 8-to-5; this only catches the inquiries that already land after hours, and the AI-search check is free with screenshots you can verify yourself before anything is bought.</t>
        </is>
      </c>
      <c r="S19" s="8" t="inlineStr">
        <is>
          <t>Their own homepage badge "in business 55 years, on the web since 1995" (1971→2026 is the 55th year; https://www.flobeds.com/) paired with the header promise "Live Person 8am–5pm PT" — a safe, warm, current anniversary compliment that leads straight into the after-hours question. Backup: two Forbes features in 2024 (https://www.flobeds.com/forbes-strikes-twice/).</t>
        </is>
      </c>
      <c r="T19" s="8" t="inlineStr">
        <is>
          <t>Unknown after 5pm PT — header states "Live Person 8am–5pm PT 1-800-356-2337"; footer "Hours: Mon-Fri 8-5, Sat 10-5"; no mention of voicemail, answering service, 24/7, or AI receptionist on homepage, contact, FAQ, or guarantee pages or in page source. Contact form (WPForms/HubSpot) carries no response-time promise. (https://www.flobeds.com/, https://www.flobeds.com/contact-us/)</t>
        </is>
      </c>
      <c r="U19" s="9" t="inlineStr"/>
      <c r="V19" s="10" t="inlineStr"/>
      <c r="W19" s="9" t="inlineStr"/>
      <c r="X19" s="10" t="inlineStr"/>
      <c r="Y19" s="9" t="inlineStr"/>
      <c r="Z19" s="10" t="inlineStr"/>
      <c r="AA19" s="11">
        <f>IF(A19="","",IF(OR(V19="Game Plan Call booked",V19="Do not call",V19="Not interested",V19="Email captured (GEO audit)",X19="Game Plan Call booked",X19="Do not call",X19="Not interested",X19="Email captured (GEO audit)",Y19&lt;&gt;""),"Done",IF(W19&lt;&gt;"",W19+3,IF(U19&lt;&gt;"",U19+2,"Call today"))))</f>
        <v/>
      </c>
      <c r="AB19" s="10" t="inlineStr"/>
      <c r="AC19" s="9" t="inlineStr"/>
      <c r="AD19" s="10" t="inlineStr"/>
      <c r="AE19" s="8" t="inlineStr">
        <is>
          <t>https://www.flobeds.com</t>
        </is>
      </c>
      <c r="AF19" s="8" t="inlineStr">
        <is>
          <t>Not found</t>
        </is>
      </c>
    </row>
    <row r="20" ht="110" customHeight="1">
      <c r="A20" s="8" t="inlineStr">
        <is>
          <t>20261012-19</t>
        </is>
      </c>
      <c r="B20" s="8" t="inlineStr">
        <is>
          <t>Suddenly Slimmer Med Spa</t>
        </is>
      </c>
      <c r="C20" s="8" t="inlineStr">
        <is>
          <t>Luzivone</t>
        </is>
      </c>
      <c r="D20" s="8" t="inlineStr">
        <is>
          <t>Founder / "matriarch"</t>
        </is>
      </c>
      <c r="E20" s="8" t="inlineStr">
        <is>
          <t>Not found (a second tel: link, 602-737-1788, sits behind the mobile sticky "Call" button on the site — purpose not stated; not tied to any named person, do not treat as owner-direct)</t>
        </is>
      </c>
      <c r="F20" s="8" t="inlineStr">
        <is>
          <t>+1 602-952-8446</t>
        </is>
      </c>
      <c r="G20" s="8" t="inlineStr">
        <is>
          <t>Phoenix (Arcadia / Biltmore area)</t>
        </is>
      </c>
      <c r="H20" s="8" t="inlineStr">
        <is>
          <t>AZ</t>
        </is>
      </c>
      <c r="I20" s="8" t="inlineStr">
        <is>
          <t>AZ (Arizona, no DST: same clock as PT/Los Angeles through Oct 31, 2026; from Nov 1 it is one hour ahead of LA, same as MT)</t>
        </is>
      </c>
      <c r="J20" s="8" t="inlineStr">
        <is>
          <t>Tue-Thu 9:15-10:30 AM AZ (= 9:15 AM in LA through Oct 31; 8:15 AM LA from Nov 1) — right after the 9 AM open and before the injector/consult book fills; Monday mornings are the weekend backlog for a spa that takes Podium texts and 24/7 Booker self-bookings while closed Sunday, and Saturday is a short 9-4 day. Fallback window Tue-Thu 2:00-3:30 PM AZ. No review evidence that an owner answers the line, so expect a spa coordinator and ask for Jana by name.</t>
        </is>
      </c>
      <c r="K20" s="8" t="inlineStr">
        <is>
          <t>Mon-Fri 9:00 AM-6:00 PM; Sat 9:00 AM-4:00 PM; Sun closed (site /contact/ page; identical on the Frederick-hosted reviews page; Google Business Profile could not be opened this run)</t>
        </is>
      </c>
      <c r="L20" s="8" t="inlineStr">
        <is>
          <t>Phone 602-952-8446 is the only published line and it is 'call or text' (Podium web chat also routes to text). Expect a front-desk 'spa coordinator' (the role named on the hiring page); no office manager, dispatcher, answering service or owner cell is published anywhere, and no reviews could be read that name who answers. Ask for 'Jana' by first name (BBB lists 'Mrs. Jana Marcelino' on the business record; About page names her as a daughter of founder Luzivone) — not 'the owner'. Second choice: 'Dannielli' (RN, master injector — likely in treatment rooms; ask for a callback window rather than a hold). If asked what it's regarding: 'the PicoFy launch — I have a quick note for Jana about the after-hours calls.' Do not ask for Luzivone (surname unknown, may not be day-to-day) and do not ask for Dr. Brit Ferrell (medical director, not the buyer). Never quote treatment prices or promise results; never mention the BBB C+/complaints; don't say 'saw you're hiring this week' (page is evergreen). Leave the unexplained 602-737-1788 mobile-button number alone.</t>
        </is>
      </c>
      <c r="M20" s="8" t="n">
        <v>58</v>
      </c>
      <c r="N20" s="8" t="inlineStr">
        <is>
          <t>Family-Legacy Pride Brand (primary); Growth-Minded Operator (secondary) — medium confidence</t>
        </is>
      </c>
      <c r="O20" s="8" t="inlineStr">
        <is>
          <t>Free GEO audit ("I asked ChatGPT for the best med spa in Phoenix/Scottsdale…") delivered by phone/intro to Jana or Dannielli, with the live voice-demo line built from suddenlyslimmer.com as the second lever for after-6pm/Sunday calls (demo_build = yes; run_geo_audit = yes before first touch)</t>
        </is>
      </c>
      <c r="P20" s="8" t="inlineStr">
        <is>
          <t>"Hi, is this Jana? Jana, it's Sam with Eat 4 Life Marketing. Full disclosure, this is a cold call, so you're welcome to hang up on me — but can I have twenty seconds and then you decide? [pause] I saw the PicoFy launch party you threw at the Indian School location on September 23rd. Every page on your site opens with 'Call or Text Now,' but you close at six and all day Sunday — so right now, who's picking up the consult calls those promos pull in after hours: a person, voicemail, or nobody? That's the whole reason I'm calling. We build a receptionist trained on Suddenly Slimmer that answers every one of those calls and books the consult — and you can call the demo line before you ever pay a dollar. Worth twenty seconds?" (If Jana is unavailable, same opener addressed to Dannielli. Close on ask #1 Game Plan Call with Sebastian or ask #2 email for the free AI-visibility audit.)</t>
        </is>
      </c>
      <c r="Q20" s="8" t="inlineStr">
        <is>
          <t>"Hi, I'm looking for Jana or Dannielli — this is Sam with Eat 4 Life Marketing. We're running a check this week on what ChatGPT, Gemini and Perplexity say when someone in Phoenix or Scottsdale asks for the best med spa or Botox near them, and I'd like to send Suddenly Slimmer's results over — it's free and a two-minute read. One quick question while I have you: your site says call or text, so who's picking up those calls after 6 and on Sundays right now?" Close on ask #2 (email for the audit) or ask #1 (20-minute Game Plan Call with Sebastian).</t>
        </is>
      </c>
      <c r="R20" s="8" t="inlineStr">
        <is>
          <t>"We've been here since 1988, we already have Podium and online booking, and we don't need another marketing company." — Answer: "Podium and Booker serve the clients who already found you; the audit is about the new ones asking ChatGPT who to call, and the phone piece only catches the calls that already go to voicemail after 6 — nothing changes for the front desk during the day, and there's nothing to pay before you hear it."</t>
        </is>
      </c>
      <c r="S20" s="8" t="inlineStr">
        <is>
          <t>The PicoFy Laser Launch Party held at the Arcadia location on Sept 23, 2026 (post published 2026-09-13: https://www.suddenlyslimmer.com/picofy-laser-launch-phoenix-arizona/ and https://www.suddenlyslimmer.com/upcoming-events/) — recent, positive, public, and ties to "38 years and still first to new tech."</t>
        </is>
      </c>
      <c r="T20" s="8" t="inlineStr">
        <is>
          <t>Unknown / none stated. Contact page hours: "Monday–Friday 9:00 AM - 6:00 PM, Saturday 9:00 AM - 4:00 PM, Sunday: Closed" (https://suddenlyslimmer.com/contact/). Site says "simply call, text, or use the link below for 24/7 online booking" — the only 24/7 claim is online booking (Booker). No mention anywhere on home, contact, or page source of voicemail handling, an answering service, call center, or AI receptionist (logged null). Podium widget routes web chat to text, but no auto-reply promise is published.</t>
        </is>
      </c>
      <c r="U20" s="9" t="inlineStr"/>
      <c r="V20" s="10" t="inlineStr"/>
      <c r="W20" s="9" t="inlineStr"/>
      <c r="X20" s="10" t="inlineStr"/>
      <c r="Y20" s="9" t="inlineStr"/>
      <c r="Z20" s="10" t="inlineStr"/>
      <c r="AA20" s="11">
        <f>IF(A20="","",IF(OR(V20="Game Plan Call booked",V20="Do not call",V20="Not interested",V20="Email captured (GEO audit)",X20="Game Plan Call booked",X20="Do not call",X20="Not interested",X20="Email captured (GEO audit)",Y20&lt;&gt;""),"Done",IF(W20&lt;&gt;"",W20+3,IF(U20&lt;&gt;"",U20+2,"Call today"))))</f>
        <v/>
      </c>
      <c r="AB20" s="10" t="inlineStr"/>
      <c r="AC20" s="9" t="inlineStr"/>
      <c r="AD20" s="10" t="inlineStr"/>
      <c r="AE20" s="8" t="inlineStr">
        <is>
          <t>https://www.suddenlyslimmer.com/</t>
        </is>
      </c>
      <c r="AF20" s="8" t="inlineStr">
        <is>
          <t>Not found</t>
        </is>
      </c>
    </row>
    <row r="21" ht="110" customHeight="1">
      <c r="A21" s="8" t="inlineStr">
        <is>
          <t>20261012-20</t>
        </is>
      </c>
      <c r="B21" s="8" t="inlineStr">
        <is>
          <t>Comfort Hounds Heating &amp; Cooling</t>
        </is>
      </c>
      <c r="C21" s="8" t="inlineStr">
        <is>
          <t>Rob George</t>
        </is>
      </c>
      <c r="D21" s="8" t="inlineStr">
        <is>
          <t>Owner / NC Heating Contractor license holder</t>
        </is>
      </c>
      <c r="E21" s="8" t="inlineStr">
        <is>
          <t>Not found (NC license record phone = main line (919) 578-7798; no cell/direct line published)</t>
        </is>
      </c>
      <c r="F21" s="8" t="inlineStr">
        <is>
          <t>+1 919-578-7798</t>
        </is>
      </c>
      <c r="G21" s="8" t="inlineStr">
        <is>
          <t>Raleigh</t>
        </is>
      </c>
      <c r="H21" s="8" t="inlineStr">
        <is>
          <t>NC</t>
        </is>
      </c>
      <c r="I21" s="8" t="inlineStr">
        <is>
          <t>America/New_York (Eastern)</t>
        </is>
      </c>
      <c r="J21" s="8" t="inlineStr">
        <is>
          <t>Tue–Thu 8:00–8:30 AM ET, right at opening (site hours Mon–Fri 8–5; trades window before crews dispatch) — or 4:00–4:45 PM ET as crews return. Office staff answer the main line per reviews, and Rob personally works the phone, so an early call has the best odds of reaching him directly. Avoid Monday mornings (weekend emergency backlog) and never after 5 PM ET (after-hours line is tech-availability dependent).</t>
        </is>
      </c>
      <c r="K21" s="8" t="inlineStr">
        <is>
          <t>Website contact page + JSON-LD: Monday–Friday 8:00 AM–5:00 PM, 'with after-hours and weekend emergency service available based on technician availability'. Google Business Profile: 'Open 24 hours' Monday–Sunday (conflict with site). Housecall Pro booking page lists 'Residential - Emergency Service' as a bookable category.</t>
        </is>
      </c>
      <c r="L21" s="8" t="inlineStr">
        <is>
          <t>Main line +1 919-578-7798 is confirmed on three business-controlled/government sources (website, GBP, NC license record). Reviews reference 'office staff' (unnamed) and Rob personally returning calls; no dispatcher or office-manager name is public; no owner cell published. Service tech 'Caleb' is named in 2025–2026 reviews (rapport only, not a gatekeeper). If the office answers: 'Hi, is Rob George around? It's Sam — calling about your after-hours line.' Note: (919) 582-5022 appears on one aggregator (ServiceAgent) — unverified/possibly stale; dial 578-7798 first. Do not SMS or AI-dial any number.</t>
        </is>
      </c>
      <c r="M21" s="8" t="n">
        <v>57</v>
      </c>
      <c r="N21" s="8" t="inlineStr">
        <is>
          <t>Tech-Forward Early Adopter (primary); Growth-Minded Operator (secondary). Confidence: high (5+ signals across site, GBP, ads, hiring).</t>
        </is>
      </c>
      <c r="O21" s="8" t="inlineStr">
        <is>
          <t>Voice AI live demo built from mycomforthounds.com, positioned as the after-hours/overflow phone layer that books straight into their existing Housecall Pro — seasonal (heating season) urgency angle. Secondary door-opener: free AI Search Visibility audit (D4 unrun; no FAQ schema) for the email/follow-up touch.</t>
        </is>
      </c>
      <c r="P21" s="8" t="inlineStr">
        <is>
          <t>Hi, is this Rob? Rob, it's Sam with Eat 4 Life Marketing — this is a cold call, so feel free to hang up on me. Heating season's starting in Raleigh, and your contact page says after-hours service depends on technician availability. We built a demo line trained on Comfort Hounds that answers the no-heat call at 9pm, qualifies it, and books it straight into your Housecall Pro. Can I take 20 seconds to tell you how it works, and you tell me if it's worth hearing? [Only cite 'your Oct 4 post' if Sam has confirmed it on GBP.]</t>
        </is>
      </c>
      <c r="Q21" s="8" t="inlineStr">
        <is>
          <t>After-hours/overflow phone coverage, peer-to-peer, naming his stack. He already runs online booking (Housecall Pro), live chat, and Google Ads, so do not pitch basics or lead with 'AI'. The gap is the voice line after 5pm and on weekends, when his own site says coverage is 'based on technician availability' while GBP promises 'Open 24 hours'. Hook: a demo line trained on Comfort Hounds that answers the no-heat call, qualifies name/number/address/urgency, and books it into Housecall Pro; missed-call text-back on anything that still rings out. Proof lever: he can call the demo number before paying a dollar; go-live is one conditional call-forwarding rule. Close with ask #1 (Game Plan Call) or ask #2 (email for the free AI visibility audit).</t>
        </is>
      </c>
      <c r="R21" s="8" t="inlineStr">
        <is>
          <t>'We already have Housecall Pro online booking and a chat widget' and 'I take the after-hours calls myself.' Answer: nothing to buy until he hears it — the demo books into the Housecall Pro he already uses and only catches calls that currently ring out after 5pm, on weekends, or while he is on a job; no contract, rollback is one dial code. Ask on the call whether anything answers the phone after hours today; if he names a vendor, pivot to voice-only coverage plus the AI search audit.</t>
        </is>
      </c>
      <c r="S21" s="8" t="inlineStr">
        <is>
          <t>VERIFY BEFORE USE: the GBP 'From the owner' post dated Oct 4, 2026 ('Heating season is getting started in the Raleigh area...') could not be opened from this environment — Sam must confirm it on the Google Business Profile before quoting it. Verified fallback: the contact page's own line that after-hours and weekend emergency service is 'available based on technician availability' alongside the header 'Call Now: (919) 578-7798' CTA — a neutral, verifiable observation about his phone process as heating season opens.</t>
        </is>
      </c>
      <c r="T21" s="8" t="inlineStr">
        <is>
          <t>Site contact page (verified verbatim): 'Our regular business hours are Monday through Friday, 8:00 AM–5:00 PM, with after-hours and weekend emergency service available based on technician availability.' JSON-LD openingHours Mo–Fr 08:00–17:00. Homepage: 'after-hours emergency service available when needed. Call 919-578-7798'; after-hours/weekend service call $147 + tax vs $87 regular. GBP 'Open 24 hours' Mon–Sun could not be opened directly; corroborated via serviceagent.ai's GBP-sourced listing. No answering service, call center, AI receptionist, or 'we answer live 24/7' claim anywhere in site source; chat is Tidio (text only). Older on-site reviews show Rob personally taking late/evening calls ('called comfort hounds late night... Rob got us on the schedule ASAP'; 'within minutes Rob was here'). No incumbent AI lead-response vendor detected in source.</t>
        </is>
      </c>
      <c r="U21" s="9" t="inlineStr"/>
      <c r="V21" s="10" t="inlineStr"/>
      <c r="W21" s="9" t="inlineStr"/>
      <c r="X21" s="10" t="inlineStr"/>
      <c r="Y21" s="9" t="inlineStr"/>
      <c r="Z21" s="10" t="inlineStr"/>
      <c r="AA21" s="11">
        <f>IF(A21="","",IF(OR(V21="Game Plan Call booked",V21="Do not call",V21="Not interested",V21="Email captured (GEO audit)",X21="Game Plan Call booked",X21="Do not call",X21="Not interested",X21="Email captured (GEO audit)",Y21&lt;&gt;""),"Done",IF(W21&lt;&gt;"",W21+3,IF(U21&lt;&gt;"",U21+2,"Call today"))))</f>
        <v/>
      </c>
      <c r="AB21" s="10" t="inlineStr"/>
      <c r="AC21" s="9" t="inlineStr"/>
      <c r="AD21" s="10" t="inlineStr"/>
      <c r="AE21" s="8" t="inlineStr">
        <is>
          <t>https://www.mycomforthounds.com/</t>
        </is>
      </c>
      <c r="AF21" s="8" t="inlineStr">
        <is>
          <t>info@mycomforthounds.com (generic mailbox only; no personal/owner address found on any public page — site, schema, Alignable, Yelp snippet, LinkedIn snippet, license record, trademark listing all checked)</t>
        </is>
      </c>
    </row>
    <row r="22" ht="110" customHeight="1">
      <c r="A22" s="8" t="inlineStr">
        <is>
          <t>20261012-21</t>
        </is>
      </c>
      <c r="B22" s="8" t="inlineStr">
        <is>
          <t>Morehart Air Conditioning &amp; Heating</t>
        </is>
      </c>
      <c r="C22" s="8" t="inlineStr">
        <is>
          <t>Joshua Morehart</t>
        </is>
      </c>
      <c r="D22" s="8" t="inlineStr">
        <is>
          <t>Owner / Member</t>
        </is>
      </c>
      <c r="E22" s="8" t="inlineStr">
        <is>
          <t>+1 602-640-0444 (website header/banner/footer, tel: link x3); +1 623-566-0005 (site JSON-LD schema, BBB, Apr-2024 press release - likely the office line; the 602 number appears only on the RYNO-built site and may be a tracking number, vendor unconfirmed); +1 623-738-4004 (ServiceAgent directory mirror of Google data)</t>
        </is>
      </c>
      <c r="F22" s="8" t="inlineStr">
        <is>
          <t>+1 602-640-0444 (website header/banner/footer, tel: link x3); +1 623-566-0005 (site JSON-LD schema, BBB, Apr-2024 press release - likely the office line; the 602 number appears only on the RYNO-built site and may be a tracking number, vendor unconfirmed); +1 623-738-4004 (ServiceAgent directory mirror of Google data)</t>
        </is>
      </c>
      <c r="G22" s="8" t="inlineStr">
        <is>
          <t>Peoria</t>
        </is>
      </c>
      <c r="H22" s="8" t="inlineStr">
        <is>
          <t>AZ</t>
        </is>
      </c>
      <c r="I22" s="8" t="inlineStr">
        <is>
          <t>AZ (MST year-round, UTC-7; no daylight saving. Through Nov 1, 2026 it is the same clock as Los Angeles; after Nov 1 Peoria is one hour ahead of LA.)</t>
        </is>
      </c>
      <c r="J22" s="8" t="inlineStr">
        <is>
          <t>Tue-Thu 8:00-8:45 AM AZ, right when the office line opens and before Josh heads out; a site review says the owner works in the field with his crew, so he is hardest to reach mid-day. Fallback: 4:00-4:50 PM AZ before the 5 PM close when trucks return. Avoid Sat (1 PM close) and the 10/31 run-up on the $110 tune-up special when the office is busiest. Dial 623-566-0005 (BBB/press office line) first; dial 602-640-0444 once after 5 PM AZ to hear what the tracked site line does after hours (log it for the pitch).</t>
        </is>
      </c>
      <c r="K22" s="8" t="inlineStr">
        <is>
          <t>Office: Mon-Fri 8:00 AM-5:00 PM, Sat 8:00 AM-1:00 PM, Sunday not listed (morehartac.com homepage, /about-us/, /contact-us/). Site also advertises '24/7 Emergency Service'. Google Business Profile (per ServiceAgent mirror) shows 'Open 24 hours' every day, which conflicts with the posted office hours.</t>
        </is>
      </c>
      <c r="L22" s="8" t="inlineStr">
        <is>
          <t>Who picks up: most likely Mayley Madrid, Business Development Coordinator (BBB management list), praised in a site review for coordinating a same-day after-hours dispatch, so she is the office/dispatch voice. Co-owner Janah Morehart (Member and registered agent, BBB/OpenCorporates) may also answer; she is a decision-maker, not a gatekeeper, so pitch her as a co-signer, not a screen. No answering service, call center, or AI receptionist appears in the site source; after-hours handling is unknown, so note who answers on the first dial. Numbers: 623-566-0005 = office line on BBB, BuildZoom, and the 2024 press release; 602-640-0444 = site-only (probable RYNO tracking number); 623-738-4004 = Google Business Profile number per ServiceAgent mirror. No owner cell published. Getting through: ask for Josh by first name ("Is Josh in the shop this morning or already out on a job?"). If Mayley says he is in the field, ask for the window he is usually back and whether Janah handles vendor calls; never position the AI as replacing Mayley, only as after-hours/overflow coverage. Incumbent to respect: RYNO Strategic Solutions handles web/marketing; this is phone-answering, not web. Do not quote the 2021 BuildZoom rescheduling complaint.</t>
        </is>
      </c>
      <c r="M22" s="8" t="n">
        <v>56</v>
      </c>
      <c r="N22" s="8" t="inlineStr">
        <is>
          <t>Family-Legacy Pride Brand (primary); Growth-Minded Operator (secondary). Confidence: medium.</t>
        </is>
      </c>
      <c r="O22" s="8" t="inlineStr">
        <is>
          <t>Voice AI live demo built from morehartac.com (after-hours/overflow receptionist on the 602/623 line, qualifies no-cool/no-heat urgency, books into their schedule, routes true emergencies to the on-call tech) + missed-call text-back (they already collect SMS consent on their forms). Seasonal urgency angle: heating/maintenance season with a $110 tune-up special live. Door-opener: demo number first (DEMO PATH, no email). Run the free GEO audit as the second touch once a reply or Sam contact exists.</t>
        </is>
      </c>
      <c r="P22" s="8" t="inlineStr">
        <is>
          <t>"Josh? Hey, it's Sam with Eat 4 Life Marketing out in LA. Full disclosure, this is a cold call, so feel free to hang up on me. I was on morehartac.com this morning: you tell Peoria homeowners you're available 24/7 for HVAC emergencies, right above office hours that end at 5 on weekdays and 1 on Saturday. So, quick one: who answers your line at 9 pm right now, you, voicemail, or nobody? Reason I ask: we build a receptionist trained on your own company that picks up every after-hours call, sorts no-cool from no-heat, and books it, and you can call the demo line and try to break it before you ever pay a dollar. Can I take 20 seconds to tell you how that works, and you tell me if it's worth a longer conversation?"</t>
        </is>
      </c>
      <c r="Q22" s="8" t="inlineStr">
        <is>
          <t>Josh, we built a demo receptionist from Morehart's own website: it picks up the line when the office closes at 5, gets the caller's name, address, and whether it's no-cool or no-heat and how urgent, then books them or hands true emergencies to your on-call tech. You're heading into heating season with a $110 maintenance special and a hiring banner up, so every after-hours call that hits voicemail is a tune-up or a replacement that goes to the next name on Google. Call the demo number, try to break it, and if it isn't better than what happens on your line at 9pm tonight, no harm done.</t>
        </is>
      </c>
      <c r="R22" s="8" t="inlineStr">
        <is>
          <t>"We already have RYNO handling our marketing and we already cover emergencies 24/7." Answer: keep RYNO - this isn't web or ads, it's what happens to the call after their site makes the phone ring; it only takes the calls you already miss (one conditional-forwarding rule for missed/busy calls, one dial code to roll it back) and books them while your on-call tech is on another job.</t>
        </is>
      </c>
      <c r="S22" s="8" t="inlineStr">
        <is>
          <t>Primary (neutral phone-process observation, rank 4 in the playbook since no dated win in 90 days was found): the homepage promises "Our team is available 24/7 to rapidly respond to your HVAC emergencies" directly above office hours of "Monday - Friday 8AM – 5PM / Saturday 8AM - 1PM" (no Sunday), and the header "chat" link points to a dead URL (https://morehartac.comsms). Source: https://morehartac.com/. Warm alternate: 19 years in Peoria under the family name (LLC filed Nov 2007; BBB started 2007-11-02) and customers who have stayed 10-14 years.</t>
        </is>
      </c>
      <c r="T22" s="8" t="inlineStr">
        <is>
          <t>claims_24_7 with posted hours narrower than the claim. Site: "Our team is available 24/7 to rapidly respond to your HVAC emergencies. Call us right away at 602-640-0444" and "24/7 Emergency Service" banner, while listed hours are "Monday - Friday 8AM – 5PM", "Saturday 8AM - 1PM", Sunday not listed (https://morehartac.com/, /about-us/, /contact-us/). Site JSON-LD declares openingHours 00:00-23:59 all 7 days and the ServiceAgent mirror of Google data shows "open 24 hours". No mention of an answering service, call center, or AI receptionist anywhere in source ("answering" = 0 hits). Caveat: one on-site review says a tech "showed up in under 45 minutes after hours" and another "called around 5:30pm &amp; their service tech, John, was here by 6pm" - so some after-hours calls are handled; who actually picks up at night/weekends is unknown. Sam should record who answers on the first dial.</t>
        </is>
      </c>
      <c r="U22" s="9" t="inlineStr"/>
      <c r="V22" s="10" t="inlineStr"/>
      <c r="W22" s="9" t="inlineStr"/>
      <c r="X22" s="10" t="inlineStr"/>
      <c r="Y22" s="9" t="inlineStr"/>
      <c r="Z22" s="10" t="inlineStr"/>
      <c r="AA22" s="11">
        <f>IF(A22="","",IF(OR(V22="Game Plan Call booked",V22="Do not call",V22="Not interested",V22="Email captured (GEO audit)",X22="Game Plan Call booked",X22="Do not call",X22="Not interested",X22="Email captured (GEO audit)",Y22&lt;&gt;""),"Done",IF(W22&lt;&gt;"",W22+3,IF(U22&lt;&gt;"",U22+2,"Call today"))))</f>
        <v/>
      </c>
      <c r="AB22" s="10" t="inlineStr"/>
      <c r="AC22" s="9" t="inlineStr"/>
      <c r="AD22" s="10" t="inlineStr"/>
      <c r="AE22" s="8" t="inlineStr">
        <is>
          <t>https://morehartac.com/</t>
        </is>
      </c>
      <c r="AF22" s="8" t="inlineStr">
        <is>
          <t>Not found</t>
        </is>
      </c>
    </row>
    <row r="23" ht="110" customHeight="1">
      <c r="A23" s="8" t="inlineStr">
        <is>
          <t>20261012-22</t>
        </is>
      </c>
      <c r="B23" s="8" t="inlineStr">
        <is>
          <t>Air Bros Air Conditioning &amp; Electrical</t>
        </is>
      </c>
      <c r="C23" s="8" t="inlineStr">
        <is>
          <t>Ricky Orta</t>
        </is>
      </c>
      <c r="D23" s="8" t="inlineStr">
        <is>
          <t>Owner / President</t>
        </is>
      </c>
      <c r="E23" s="8" t="inlineStr">
        <is>
          <t>Not found (only the company line and call-tracking variants are published; no cell or 'call me' line anywhere)</t>
        </is>
      </c>
      <c r="F23" s="8" t="inlineStr">
        <is>
          <t>+1 727-217-6148 (site "direct" number). Tracking variants seen: +1 727-217-6142 (GMB), +1 813-758-4044 (Podium/BBB) - dial 6148 so the call is not attributed to a paid channel.</t>
        </is>
      </c>
      <c r="G23" s="8" t="inlineStr">
        <is>
          <t>St. Petersburg (HQ); second office in Seminole</t>
        </is>
      </c>
      <c r="H23" s="8" t="inlineStr">
        <is>
          <t>FL</t>
        </is>
      </c>
      <c r="I23" s="8" t="inlineStr">
        <is>
          <t>ET</t>
        </is>
      </c>
      <c r="J23" s="8" t="inlineStr">
        <is>
          <t>Tue-Thu 7:30-8:30 AM ET, before the morning dispatch: the line is listed 24 hours but the site shows a single CSR (Danielle) and a GM (Bailey) running a 13-truck board, so the office is reachable and least slammed before crews roll. Backup window Tue-Thu 1:30-3:00 PM ET once installs are placed. Avoid Monday mornings (weekend emergency backlog) and Friday afternoons. No review evidence that Ricky answers the office line himself - expect Danielle, ask for Ricky by first name. Also make one test dial after 9 PM ET to learn who (or what) actually picks up; that answer is the hook.</t>
        </is>
      </c>
      <c r="K23" s="8" t="inlineStr">
        <is>
          <t>Site (every page footer): "Monday - Sunday 24 Hours". Google Business Profile (ServiceAgent mirror): "Open 24 hours" Mon-Sun. BBB lists no hours. Office-staff reality: one CSR (Danielle) and GM (Bailey) - assume the live office day is roughly 7:30 AM-5:00 PM ET; who covers the line after that is unverified.</t>
        </is>
      </c>
      <c r="L23" s="8" t="inlineStr">
        <is>
          <t>Dial 727-217-6148 (site "direct" line) - 727-217-6142 is the GBP tracking number and 813-758-4044 is the Podium/BBB line, so 6148 keeps the call off a paid-channel report. Likely first voice: Danielle, CSR (first name only on theairbros.com/profiles/danielle/, no bio). Gate/champion above her: Bailey McCormick, General Manager (full name on BBB and LinkedIn; only employee shown on the LinkedIn company page). Owner: ask for "Ricky" - he introduces himself that way; "Ricardo" flags you as a stranger. Griffin Kistler (electrician / license holder on BBB) is not a decision gate. No office manager, dispatcher, answering service, call center or owner cell is published anywhere; the site's "Book Online" is a LaunchSMS form, not a scheduler. If Danielle screens, keep it concrete: "It's about the 24-hour line on the website - Ricky's About page; I just need twenty seconds with him or Bailey." If no owner access, run the pitch with Bailey (he runs ops; voice AI as after-hours layer beside LeadsNearby/Podium, never a website or chat replacement). No public email, so ask #2 (email for the free audit) must be captured on the call; written fallbacks are the Facebook page (facebook.com/AirBrosHVAC) and the LinkedIn company page. After-hours test dial to 6148 recommended before pitching.</t>
        </is>
      </c>
      <c r="M23" s="8" t="n">
        <v>55</v>
      </c>
      <c r="N23" s="8" t="inlineStr">
        <is>
          <t>Growth-Minded Operator (secondary: Tech-Forward Early Adopter; family-legacy undertone)</t>
        </is>
      </c>
      <c r="O23" s="8" t="inlineStr">
        <is>
          <t>Voice AI live demo line built from theairbros.com, positioned strictly as the after-hours/overflow layer on top of LeadsNearby's chat/SMS and call tracking (books the emergency, texts back missed calls); hold the GEO audit until the 7-question check is actually run, since they already track an 'OpenAI ads' source.</t>
        </is>
      </c>
      <c r="P23" s="8" t="inlineStr">
        <is>
          <t>Hi Ricky, it's Sam with Eat 4 Life Marketing - straight up, this is a cold call. I read your About page: you first listed Air Bros as 24/7 on Google back when it was you, a pickup truck and the night calls. Thirteen trucks later the site still promises Monday through Sunday, 24 hours, and the team page shows one CSR. After-hours calls that ring out or hit voicemail go to the next name on Google, so we build a demo line trained on your own website that answers those calls, qualifies the homeowner and books the emergency - you can call it and hear it before you ever pay a dollar. Can I take twenty seconds to tell you how it works?</t>
        </is>
      </c>
      <c r="Q23" s="8" t="inlineStr">
        <is>
          <t>Ricky, you have eleven tracked phone numbers feeding one CSR and a 24-hour promise on every page, so we built a demo line trained on theairbros.com that answers the way Danielle would, qualifies the caller and books the emergency - you can call it and hear it before you spend a dollar. It only takes the calls that already ring out or hit voicemail after hours; go-live is one call-forwarding rule and rollback is one dial code, and it sits beside what LeadsNearby and Podium already run, not in place of them. If it holds up, grab 20 minutes with Sebastian on a Game Plan Call to see how it would book into your current setup.</t>
        </is>
      </c>
      <c r="R23" s="8" t="inlineStr">
        <is>
          <t>"LeadsNearby and our chat/text widget already cover this." Answer: they cover the website and the texting; none of it picks up a ringing phone at 11 p.m. - this is the after-hours layer on top, and the demo number proves it in two minutes with nothing to change on their end.</t>
        </is>
      </c>
      <c r="S23" s="8" t="inlineStr">
        <is>
          <t>His own About page: "I started listing my business on Google as 24/7 trying to drum up some sort of business in this area. And you know, mostly I would just get the calls on nights, weekends, when someone really needed an emergency... I answered the phones, I did the billing, the sales, the installs, the service, really a one-man band" (https://theairbros.com/about-ricky/) - set against the site still promising "Monday - Sunday 24 Hours" with 13 trucks and one CSR on the team page.</t>
        </is>
      </c>
      <c r="T23" s="8" t="inlineStr">
        <is>
          <t>Claims 24/7 with no named coverage: site header/menu "24/7 Emergency HVAC Repair in St. Pete, FL", page title "24/7 AC Repair", footer "Business Hours Monday - Sunday 24 Hours"; GBP hours (ServiceAgent mirror) "Open 24 hours" every day. No answering service, call center, on-call line, or AI receptionist is named anywhere on the site, BBB, or LinkedIn; the team page lists a single CSR (Danielle) and no dispatcher. Owner admits the 24/7 listing began as a way "to drum up some sort of business." Who actually picks up at night is unverified - Sam should make an after-hours dial before the demo pitch.</t>
        </is>
      </c>
      <c r="U23" s="9" t="inlineStr"/>
      <c r="V23" s="10" t="inlineStr"/>
      <c r="W23" s="9" t="inlineStr"/>
      <c r="X23" s="10" t="inlineStr"/>
      <c r="Y23" s="9" t="inlineStr"/>
      <c r="Z23" s="10" t="inlineStr"/>
      <c r="AA23" s="11">
        <f>IF(A23="","",IF(OR(V23="Game Plan Call booked",V23="Do not call",V23="Not interested",V23="Email captured (GEO audit)",X23="Game Plan Call booked",X23="Do not call",X23="Not interested",X23="Email captured (GEO audit)",Y23&lt;&gt;""),"Done",IF(W23&lt;&gt;"",W23+3,IF(U23&lt;&gt;"",U23+2,"Call today"))))</f>
        <v/>
      </c>
      <c r="AB23" s="10" t="inlineStr"/>
      <c r="AC23" s="9" t="inlineStr"/>
      <c r="AD23" s="10" t="inlineStr"/>
      <c r="AE23" s="8" t="inlineStr">
        <is>
          <t>https://theairbros.com/</t>
        </is>
      </c>
      <c r="AF23" s="8" t="inlineStr">
        <is>
          <t>Not found</t>
        </is>
      </c>
    </row>
    <row r="24" ht="110" customHeight="1">
      <c r="A24" s="8" t="inlineStr">
        <is>
          <t>20261012-23</t>
        </is>
      </c>
      <c r="B24" s="8" t="inlineStr">
        <is>
          <t>The Electrician</t>
        </is>
      </c>
      <c r="C24" s="8" t="inlineStr">
        <is>
          <t>Howard Manne</t>
        </is>
      </c>
      <c r="D24" s="8" t="inlineStr">
        <is>
          <t>Founder</t>
        </is>
      </c>
      <c r="E24" s="8" t="inlineStr">
        <is>
          <t>+1 404-256-0169</t>
        </is>
      </c>
      <c r="F24" s="8" t="inlineStr">
        <is>
          <t>+1 404-256-0169</t>
        </is>
      </c>
      <c r="G24" s="8" t="inlineStr">
        <is>
          <t>Atlanta (Sandy Springs)</t>
        </is>
      </c>
      <c r="H24" s="8" t="inlineStr">
        <is>
          <t>GA</t>
        </is>
      </c>
      <c r="I24" s="8" t="inlineStr">
        <is>
          <t>ET</t>
        </is>
      </c>
      <c r="J24" s="8" t="inlineStr">
        <is>
          <t>Tue-Thu 8:00-8:45 AM ET, right at open before the father-and-son crew rolls to the first job; fallback Tue-Thu 4:30-5:45 PM ET as they wrap. Reason: no office staff is named anywhere, LinkedIn says 2-10 people, and site testimonials have Howard himself showing up to jobs, so midday calls to the office line likely ring from a ladder or go to voicemail.</t>
        </is>
      </c>
      <c r="K24" s="8" t="inlineStr">
        <is>
          <t>Mon-Fri 8:00 AM-6:00 PM; Sat-Sun Closed (Nextdoor business page and ServiceAgent directory citing Google Business Profile; the website lists no hours)</t>
        </is>
      </c>
      <c r="L24" s="8" t="inlineStr">
        <is>
          <t>No office manager, dispatcher, receptionist or answering service is named anywhere (site, Contact page, Nextdoor, LinkedIn, page source), and no owner cell is published; the only number is the office line (404) 256-0169 and the only email is info@electricianatl.com. With 2-10 staff and testimonials saying 'Howard arrived' personally, expect Howard or Warren to answer directly, or voicemail while they're on a job. Ask for Howard first; Warren (son, the EV/LED/smart-home guy) is the likely champion and a fine second. If voicemail, leave a 10-second message naming the Nextdoor Fave and the after-6 question, then try the 4:30-5:45 PM window. Watch-out: BBB and GA SOS list a 'Phillip Wills' as owner of a separately registered 'The Electrician, L.L.C.' (Cumming) on this same phone number; do not mention BBB or Wills, but if a Phillip answers and says he's an owner, treat him as a decision-maker and continue. No chat/text widget on the site, so no texting fallback to the office line.</t>
        </is>
      </c>
      <c r="M24" s="8" t="n">
        <v>55</v>
      </c>
      <c r="N24" s="8" t="inlineStr">
        <is>
          <t>Family-Legacy Pride Brand (medium confidence; possible secondary: Skeptical Old-School Traditionalist, thin evidence)</t>
        </is>
      </c>
      <c r="O24" s="8" t="inlineStr">
        <is>
          <t>Voice AI live demo built from theelectricianatlanta.com — after-hours (after 6 pm, weekends) and on-the-job call answering with safety triage and estimate booking, plus missed-call text-back. Door-opener for the generic mailbox: Revenue Leak Scorecard link in the email; demo number via Sam's call. GEO audit only after a spot-check lifts D4.</t>
        </is>
      </c>
      <c r="P24" s="8" t="inlineStr">
        <is>
          <t>Howard? Hi, this is Sam with Eat 4 Life Marketing. Full disclosure, this is a cold call, so I'll be quick. I saw The Electrician just picked up its sixth straight Nextdoor Neighborhood Fave, and your own post thanked the crew for spending a weekend getting folks' power back on after the storm. Here's why I'm calling: your Google listing shows the phone closed after 6 and on weekends, and that's exactly when a homeowner with a sparking outlet calls the next name on Google. We build a receptionist trained on your own website that picks up those calls, asks the safety questions, and books the estimate, and you can call the demo line and try to break it before anyone pays a dollar. Can I take 20 seconds to tell you how it works, or is there a better time to catch you or Warren?</t>
        </is>
      </c>
      <c r="Q24" s="8" t="inlineStr">
        <is>
          <t>Howard, Warren — your Google hours show the shop closed after 6 and on weekends, yet your site advertises emergency repairs and your own Nextdoor post thanked the crew for a weekend spent restoring power after the storm, so those calls are clearly coming in. We built a demo receptionist trained on your own website that answers the after-hours and on-the-ladder calls, asks the safety questions (sparking, burning smell, no power), and books the estimate; I can text you the number right now and you can try to break it before anyone pays a dollar. Going live is one call-forwarding rule for missed calls, you keep answering everything you can, and one dial code turns it off.</t>
        </is>
      </c>
      <c r="R24" s="8" t="inlineStr">
        <is>
          <t>"We've run on referrals and Nextdoor for 22 years; we don't need a robot answering for us." Answer: it only catches the calls that already go to voicemail (after 6, weekends, both of you on a job), it is trained on your own story so callers still reach The Electrician, and you can hear it on the demo line before deciding anything.</t>
        </is>
      </c>
      <c r="S24" s="8" t="inlineStr">
        <is>
          <t>The Nextdoor Neighborhood Fave 2026 badge, the sixth straight year (2021-2026), for a father-and-son shop founded 2004: https://nextdoor.com/pages/the-electrician-atlanta-ga/ . Backup: their own 30 Sep 2024 Nextdoor post thanking the team for a weekend restoring power after the storm (shows they work after hours, while GBP hours say closed weekends).</t>
        </is>
      </c>
      <c r="T24" s="8" t="inlineStr">
        <is>
          <t>Unknown / not stated. GBP hours (via ServiceAgent, "pulled from Google Business Profile", and Nextdoor): Monday-Friday 8 AM-6 PM, Saturday Closed, Sunday Closed. Site meta description says "Emergency &amp; residential services" and copy promises "emergency repair" and arriving "in a timely manner", but no 24/7, after-hours, answering-service, voicemail or AI-receptionist language appears anywhere on the site, page source or Nextdoor page. Their own 30 Sep 2024 Nextdoor post shows the crew working a weekend after a storm, so after-hours demand exists with no stated coverage.</t>
        </is>
      </c>
      <c r="U24" s="9" t="inlineStr"/>
      <c r="V24" s="10" t="inlineStr"/>
      <c r="W24" s="9" t="inlineStr"/>
      <c r="X24" s="10" t="inlineStr"/>
      <c r="Y24" s="9" t="inlineStr"/>
      <c r="Z24" s="10" t="inlineStr"/>
      <c r="AA24" s="11">
        <f>IF(A24="","",IF(OR(V24="Game Plan Call booked",V24="Do not call",V24="Not interested",V24="Email captured (GEO audit)",X24="Game Plan Call booked",X24="Do not call",X24="Not interested",X24="Email captured (GEO audit)",Y24&lt;&gt;""),"Done",IF(W24&lt;&gt;"",W24+3,IF(U24&lt;&gt;"",U24+2,"Call today"))))</f>
        <v/>
      </c>
      <c r="AB24" s="10" t="inlineStr"/>
      <c r="AC24" s="9" t="inlineStr"/>
      <c r="AD24" s="10" t="inlineStr"/>
      <c r="AE24" s="8" t="inlineStr">
        <is>
          <t>https://theelectricianatlanta.com/</t>
        </is>
      </c>
      <c r="AF24" s="8" t="inlineStr">
        <is>
          <t>info@electricianatl.com</t>
        </is>
      </c>
    </row>
    <row r="25" ht="110" customHeight="1">
      <c r="A25" s="8" t="inlineStr">
        <is>
          <t>20261012-24</t>
        </is>
      </c>
      <c r="B25" s="8" t="inlineStr">
        <is>
          <t>24/7 Plumbing Co., LP</t>
        </is>
      </c>
      <c r="C25" s="8" t="inlineStr">
        <is>
          <t>Trent Cooke</t>
        </is>
      </c>
      <c r="D25" s="8" t="inlineStr">
        <is>
          <t>Owner / Master Plumber</t>
        </is>
      </c>
      <c r="E25" s="8" t="inlineStr">
        <is>
          <t>Not found (no number is publicly tied to Trent personally; +1 713-384-3012 appears on the TDLR TABS record for the owner entity with Trent Cooke as contact, but is not labeled a direct line)</t>
        </is>
      </c>
      <c r="F25" s="8" t="inlineStr">
        <is>
          <t>+1 281-214-9706 (website header/footer tel: link). Other published numbers for the same business: +1 281-402-9659 (Google Business Profile per plandstudios mirror), +1 281-391-2001 (BBB, 2022 press release, Community Impact), +1 713-384-3012 (TDLR TABS owner record). Fax +1 281-391-2042 (BBB).</t>
        </is>
      </c>
      <c r="G25" s="8" t="inlineStr">
        <is>
          <t>Katy</t>
        </is>
      </c>
      <c r="H25" s="8" t="inlineStr">
        <is>
          <t>TX</t>
        </is>
      </c>
      <c r="I25" s="8" t="inlineStr">
        <is>
          <t>CT</t>
        </is>
      </c>
      <c r="J25" s="8" t="inlineStr">
        <is>
          <t>Tue-Thu 7:30-8:30 AM CT, before trucks dispatch - the only published numbers are office lines and a review praises 'the office staff,' so the owner is most reachable at the shop before the day's jobs roll; fallback 4:00-5:30 PM CT when crews check back in. Avoid Monday mornings (post-weekend emergency backlog). Call before the first Texas freeze (burst-pipe surge) - that is the why-now.</t>
        </is>
      </c>
      <c r="K25" s="8" t="inlineStr">
        <is>
          <t>Not published anywhere reachable (site, BBB, about.me, GBP mirror all show no hours). Site About page claims '24/7 Support &amp; Answering'; about.me profile: 'Our 24-hour plumber service is ready when you need help most - day or night'; a BestProsInTown listing shows 'Open 24 today' (search snippet; page blocked). Treat the phone line as answered around the clock, with the office/dispatch staffed normal weekday hours (unverified - Sam to confirm on the call).</t>
        </is>
      </c>
      <c r="L25" s="8" t="inlineStr">
        <is>
          <t>Only business lines are public - no owner cell. Main line (281) 214-9706 is the website's call-tracking number; (281) 391-2001 is the long-standing number on BBB, the 2022 press release and about.me (likely the original office line); (281) 402-9659 is the GBP number; (713) 384-3012 appears on the TDLR warehouse record with 'Trent Cooke' as the owner contact - a company line, not labeled direct, but the one most likely to reach the back office. No office manager or dispatcher is named anywhere public; a BestProsInTown review praises 'the office staff,' so expect a live human front desk (no answering-service vendor identified in page source). Ask for 'Trent or Charles' (co-owners); if screened: 'It's about the 24/7 answering line on your website - who handles the after-hours calls for you?' - that question is the qualifier anyway. If the main line screens hard, try the 713 number. Facebook (facebook.com/247plumbingkaty) is login-walled; LinkedIn company page shows Charles Wallace, not Trent.</t>
        </is>
      </c>
      <c r="M25" s="8" t="n">
        <v>54</v>
      </c>
      <c r="N25" s="8" t="inlineStr">
        <is>
          <t>Unclear (leaning Growth-Minded Operator; evidence short of the 3-signal threshold)</t>
        </is>
      </c>
      <c r="O25" s="8" t="inlineStr">
        <is>
          <t>Voice AI live demo built from katy-plumber.com, after-hours/emergency angle (DEMO PATH, call-first: no email found). Secondary ask on the call: email address for the free AI Search Visibility audit (no schema on site; spot-check pending).</t>
        </is>
      </c>
      <c r="P25" s="8" t="inlineStr">
        <is>
          <t>Hi Trent, this is Sam with Eat 4 Life Marketing - and I'll be straight with you, this is a cold call, so feel free to hang up on me. I was on katy-plumber.com this morning: your About page promises 24/7 support and answering, and you're sitting on nearly two thousand Google reviews at a 4.9, so the phone clearly rings. Here's the thing - with a shop your size, some of those calls still ring out or sit on hold after hours or during a freeze surge, and that homeowner just dials the next plumber on Google. We build a receptionist trained on your own site that picks up the overflow and after-hours calls, sorts a burst pipe from a slow drain, and books the same-day slot instead of taking a message - and we build a demo line for 24/7 Plumbing you can call and judge before you pay a dollar. Can I take 20 seconds to tell you how the demo works, and you tell me if it's worth a look?</t>
        </is>
      </c>
      <c r="Q25" s="8" t="inlineStr">
        <is>
          <t>Trent, 24/7 is in your name and your site promises 24/7 answering - that's exactly the call we built for. We train a receptionist on katy-plumber.com that picks up the after-hours and overflow calls, sorts a burst pipe from a slow drain, and books the same-day slot instead of taking a message. We build the demo line for 24/7 Plumbing first; you call it and judge it before anything else happens, and go-live is one call-forwarding rule for missed or busy calls.</t>
        </is>
      </c>
      <c r="R25" s="8" t="inlineStr">
        <is>
          <t>"We already answer 24/7 - we have a dispatcher/answering service." Answer: "Good, keep them; this only catches the calls that ring out or sit on hold during a surge, and it books the appointment instead of taking a message - call the demo line tonight and compare it to what your callers get."</t>
        </is>
      </c>
      <c r="S25" s="8" t="inlineStr">
        <is>
          <t>The About page promise "24/7 Support &amp; Answering" next to "1992 Industry Experience" (https://katy-plumber.com/about/) - a neutral, verifiable hook: 34 years in the trade, a brand literally named 24/7, and an open question of who picks up after hours.</t>
        </is>
      </c>
      <c r="T25" s="8" t="inlineStr">
        <is>
          <t>Site claims "24/7 Support &amp; Answering" (About page) and "Get in touch with us Anytime, anywhere" (Contact page); brand name is 24/7. No answering-service, call-center, or AI-receptionist vendor appears in page source. GBP hours string could not be retrieved (Google Maps did not render; mirror shows no hours). Mechanism of after-hours answering is UNVERIFIED - Sam to ask "who picks up after 6 and can they book?" on the first call.</t>
        </is>
      </c>
      <c r="U25" s="9" t="inlineStr"/>
      <c r="V25" s="10" t="inlineStr"/>
      <c r="W25" s="9" t="inlineStr"/>
      <c r="X25" s="10" t="inlineStr"/>
      <c r="Y25" s="9" t="inlineStr"/>
      <c r="Z25" s="10" t="inlineStr"/>
      <c r="AA25" s="11">
        <f>IF(A25="","",IF(OR(V25="Game Plan Call booked",V25="Do not call",V25="Not interested",V25="Email captured (GEO audit)",X25="Game Plan Call booked",X25="Do not call",X25="Not interested",X25="Email captured (GEO audit)",Y25&lt;&gt;""),"Done",IF(W25&lt;&gt;"",W25+3,IF(U25&lt;&gt;"",U25+2,"Call today"))))</f>
        <v/>
      </c>
      <c r="AB25" s="10" t="inlineStr"/>
      <c r="AC25" s="9" t="inlineStr"/>
      <c r="AD25" s="10" t="inlineStr"/>
      <c r="AE25" s="8" t="inlineStr">
        <is>
          <t>https://katy-plumber.com/</t>
        </is>
      </c>
      <c r="AF25" s="8" t="inlineStr">
        <is>
          <t>Not found</t>
        </is>
      </c>
    </row>
    <row r="26" ht="110" customHeight="1">
      <c r="A26" s="8" t="inlineStr">
        <is>
          <t>20261012-25</t>
        </is>
      </c>
      <c r="B26" s="8" t="inlineStr">
        <is>
          <t>Bill West Roofing, Inc.</t>
        </is>
      </c>
      <c r="C26" s="8" t="inlineStr">
        <is>
          <t>Bill West</t>
        </is>
      </c>
      <c r="D26" s="8" t="inlineStr">
        <is>
          <t>President</t>
        </is>
      </c>
      <c r="E26" s="8" t="inlineStr">
        <is>
          <t>Not found (neither published number is tied to Bill or Aaron by name on any page)</t>
        </is>
      </c>
      <c r="F26" s="8" t="inlineStr">
        <is>
          <t>+1 816-295-6299 (site header CTA 'Call Us for a Free Appointment', site JSON-LD telephone, CertainTeed profile, Project Map It). Second published line: +1 816-229-5215 (site footer, BBB profile).</t>
        </is>
      </c>
      <c r="G26" s="8" t="inlineStr">
        <is>
          <t>Grain Valley</t>
        </is>
      </c>
      <c r="H26" s="8" t="inlineStr">
        <is>
          <t>MO</t>
        </is>
      </c>
      <c r="I26" s="8" t="inlineStr">
        <is>
          <t>America/Chicago (Central Time) — Grain Valley, Jackson County, MO</t>
        </is>
      </c>
      <c r="J26" s="8" t="inlineStr">
        <is>
          <t>Tue–Thu 8:00–8:45 AM CT, right at opening (site hours Mon–Sat 8:00 a.m.–5:00 p.m.), before Aaron leaves for estimates and crews dispatch; fallback 4:00–5:00 PM CT when crews return. A site testimonial says 'Brittany in the office' handles customers, so the office line is staffed in hours — ask for Aaron first (customer-facing, runs estimates), Bill second. Dial +1 816-295-6299 (main CTA); +1 816-229-5215 is the footer/BBB line. Missouri follows federal 8 AM–9 PM; stay inside 8–5 CT.</t>
        </is>
      </c>
      <c r="K26" s="8" t="inlineStr">
        <is>
          <t>Mon–Sat 8:00 AM–5:00 PM, closed Sunday. Site footer: 'Monday thru Saturday 8-5:00 pm'; contact page: 'Mon-Sat: 8:00 a.m. – 5:00 p.m.'; site JSON-LD openingHoursSpecification Mon–Sat 08:00–17:00. GBP hours not reachable this run.</t>
        </is>
      </c>
      <c r="L26" s="8" t="inlineStr">
        <is>
          <t>In hours: 'Brittany in the office' (first name + role only, from a customer review embedded in the home page https://www.billwestroofing.com/ (JSON-LD review array / testimonial section) — NOT on /about-us/ — do not quote the review). After hours: an unnamed human answering service routes calls/messages to the team (https://www.billwestroofing.com/emergency-roof-repair/). Two published lines: +1 816-295-6299 (site header CTA + JSON-LD, CertainTeed, Project Map It) and +1 816-229-5215 (site footer, contact page, BBB — the only number BBB lists) — try the second if the first hits the service. No owner cell published. Contact form offers preferred callback windows including 'evening (4pm to 8pm)', so someone works callbacks after 5. To get through: ask for Aaron by first name (he runs estimates and is customer-facing), say it's about the after-hours emergency line, keep it to 20 seconds.</t>
        </is>
      </c>
      <c r="M26" s="8" t="n">
        <v>54</v>
      </c>
      <c r="N26" s="8" t="inlineStr">
        <is>
          <t>Family-Legacy Pride Brand (medium confidence); secondary cues of Tech-Forward (Roofr estimator, financing portal, SMS consent, monthly blog)</t>
        </is>
      </c>
      <c r="O26" s="8" t="inlineStr">
        <is>
          <t>Voice AI live demo line built from billwestroofing.com, positioned as the after-hours/overflow layer that qualifies storm callers (address, damage, insurance claim) and books the inspection — an upgrade of the current message-taking answering service, not a replacement for 'Brittany in the office'. Bundle missed-call text-back. Before first touch: run one GEO money question ('emergency roofer near Blue Springs, MO') on one platform to close the D4 gap and re-score.</t>
        </is>
      </c>
      <c r="P26" s="8" t="inlineStr">
        <is>
          <t>"Hi, is this Aaron? Aaron, it's Sam with Eat 4 Life Marketing — this is a cold call, so feel free to hang up on me. I was on billwestroofing.com this morning: fifty years, you and your dad, and right under the '24/7 Emergency Roof Repair' heading your hours say Monday to Saturday, 8 to 5. Right now the answering service takes a message on those night and Sunday storm calls — we build a receptionist trained on your own company that picks up instead, asks the homeowner the questions you'd ask, books the inspection, and texts back anyone you miss in under a minute. Can I take twenty seconds to explain how it works, and then you decide if it's worth calling the demo line we'd build for you?" (If Bill answers: 'Mr. West' and the same opener. If Brittany answers: 'Morning Brittany — Sam with Eat 4 Life Marketing, it's a cold call about the after-hours emergency line; is Aaron or Bill around for twenty seconds?')</t>
        </is>
      </c>
      <c r="Q26" s="8" t="inlineStr">
        <is>
          <t>Family-Legacy framing with an answering-service upgrade hook. Respect the name: 50 years, father and son, 'grows through referrals and name recognition'. Then the neutral observation: the home page says 24/7, the hours say Mon–Sat 8–5, and the emergency page says an answering service routes messages with a 24-hour response. A storm caller who gets a message-taker calls the next roofer who answers. E4L builds a receptionist trained on their own story that answers those calls, qualifies the homeowner (address, damage, insurance claim), books the inspection into their calendar, and texts back any missed call in under a minute — after-hours and overflow only, so Brittany and the office keep their day. Address Aaron (runs estimates, next generation) as the champion and Bill as the signer. Proof lever: 'hear it yourself on a demo number before you pay a dollar'. Never promise results; no prices on the call.</t>
        </is>
      </c>
      <c r="R26" s="8" t="inlineStr">
        <is>
          <t>'We already have an answering service.' Answer: it takes a message and promises a callback within 24 hours; this one qualifies the caller, books the inspection and texts them back in under a minute — and you can call the demo line and judge it yourself before anything changes. Second objection: 'We grow on referrals, we don't do marketing.' Answer: this isn't marketing — it only catches the calls your referrals already generate when the office is closed or on a roof.</t>
        </is>
      </c>
      <c r="S26" s="8" t="inlineStr">
        <is>
          <t>The 50-year milestone (1976→2026, site's own count) plus the father-and-son story on /about-us/ and Aaron's 'better educated' quote — the safest, most specific compliment available. Pair it with the neutral phone observation: '24/7 Emergency Roof Repair' on the home page next to Mon–Sat 8–5 hours. Sources: https://www.billwestroofing.com/about-us/ and https://www.billwestroofing.com/</t>
        </is>
      </c>
      <c r="T26" s="8" t="inlineStr">
        <is>
          <t>Hours Mon–Sat 8–5, closed Sunday. Home page advertises '24/7 Emergency Roof Repair' ('our emergency repair team swiftly responds'). Emergency page credits an unnamed human answering service: 'Provide prompt after-business hours responsiveness. Our answering service immediately routes your calls or messages to us.' and 'we guarantee a 24-hour immediate response' (a 24-hour callback window, not 24/7 live answering). 24/7 coverage NOT confirmed; no AI receptionist vendor in page source. Pitch becomes an upgrade/cost-replacement conversation: message-taking service vs. a receptionist trained on their site that qualifies and books. https://www.billwestroofing.com/emergency-roof-repair/</t>
        </is>
      </c>
      <c r="U26" s="9" t="inlineStr"/>
      <c r="V26" s="10" t="inlineStr"/>
      <c r="W26" s="9" t="inlineStr"/>
      <c r="X26" s="10" t="inlineStr"/>
      <c r="Y26" s="9" t="inlineStr"/>
      <c r="Z26" s="10" t="inlineStr"/>
      <c r="AA26" s="11">
        <f>IF(A26="","",IF(OR(V26="Game Plan Call booked",V26="Do not call",V26="Not interested",V26="Email captured (GEO audit)",X26="Game Plan Call booked",X26="Do not call",X26="Not interested",X26="Email captured (GEO audit)",Y26&lt;&gt;""),"Done",IF(W26&lt;&gt;"",W26+3,IF(U26&lt;&gt;"",U26+2,"Call today"))))</f>
        <v/>
      </c>
      <c r="AB26" s="10" t="inlineStr"/>
      <c r="AC26" s="9" t="inlineStr"/>
      <c r="AD26" s="10" t="inlineStr"/>
      <c r="AE26" s="8" t="inlineStr">
        <is>
          <t>https://www.billwestroofing.com</t>
        </is>
      </c>
      <c r="AF26" s="8" t="inlineStr">
        <is>
          <t>info@billwestroofing.com</t>
        </is>
      </c>
    </row>
    <row r="27">
      <c r="A27" s="8" t="inlineStr"/>
      <c r="B27" s="8" t="inlineStr"/>
      <c r="C27" s="8" t="inlineStr"/>
      <c r="D27" s="8" t="inlineStr"/>
      <c r="E27" s="8" t="inlineStr"/>
      <c r="F27" s="8" t="inlineStr"/>
      <c r="G27" s="8" t="inlineStr"/>
      <c r="H27" s="8" t="inlineStr"/>
      <c r="I27" s="8" t="inlineStr"/>
      <c r="J27" s="8" t="inlineStr"/>
      <c r="K27" s="8" t="inlineStr"/>
      <c r="L27" s="8" t="inlineStr"/>
      <c r="M27" s="8" t="inlineStr"/>
      <c r="N27" s="8" t="inlineStr"/>
      <c r="O27" s="8" t="inlineStr"/>
      <c r="P27" s="8" t="inlineStr"/>
      <c r="Q27" s="8" t="inlineStr"/>
      <c r="R27" s="8" t="inlineStr"/>
      <c r="S27" s="8" t="inlineStr"/>
      <c r="T27" s="8" t="inlineStr"/>
      <c r="U27" s="9" t="inlineStr"/>
      <c r="V27" s="10" t="inlineStr"/>
      <c r="W27" s="9" t="inlineStr"/>
      <c r="X27" s="10" t="inlineStr"/>
      <c r="Y27" s="9" t="inlineStr"/>
      <c r="Z27" s="10" t="inlineStr"/>
      <c r="AA27" s="11">
        <f>IF(A27="","",IF(OR(V27="Game Plan Call booked",V27="Do not call",V27="Not interested",V27="Email captured (GEO audit)",X27="Game Plan Call booked",X27="Do not call",X27="Not interested",X27="Email captured (GEO audit)",Y27&lt;&gt;""),"Done",IF(W27&lt;&gt;"",W27+3,IF(U27&lt;&gt;"",U27+2,"Call today"))))</f>
        <v/>
      </c>
      <c r="AB27" s="10" t="inlineStr"/>
      <c r="AC27" s="9" t="inlineStr"/>
      <c r="AD27" s="10" t="inlineStr"/>
      <c r="AE27" s="8" t="inlineStr"/>
      <c r="AF27" s="8" t="inlineStr"/>
    </row>
    <row r="28">
      <c r="A28" s="8" t="inlineStr"/>
      <c r="B28" s="8" t="inlineStr"/>
      <c r="C28" s="8" t="inlineStr"/>
      <c r="D28" s="8" t="inlineStr"/>
      <c r="E28" s="8" t="inlineStr"/>
      <c r="F28" s="8" t="inlineStr"/>
      <c r="G28" s="8" t="inlineStr"/>
      <c r="H28" s="8" t="inlineStr"/>
      <c r="I28" s="8" t="inlineStr"/>
      <c r="J28" s="8" t="inlineStr"/>
      <c r="K28" s="8" t="inlineStr"/>
      <c r="L28" s="8" t="inlineStr"/>
      <c r="M28" s="8" t="inlineStr"/>
      <c r="N28" s="8" t="inlineStr"/>
      <c r="O28" s="8" t="inlineStr"/>
      <c r="P28" s="8" t="inlineStr"/>
      <c r="Q28" s="8" t="inlineStr"/>
      <c r="R28" s="8" t="inlineStr"/>
      <c r="S28" s="8" t="inlineStr"/>
      <c r="T28" s="8" t="inlineStr"/>
      <c r="U28" s="9" t="inlineStr"/>
      <c r="V28" s="10" t="inlineStr"/>
      <c r="W28" s="9" t="inlineStr"/>
      <c r="X28" s="10" t="inlineStr"/>
      <c r="Y28" s="9" t="inlineStr"/>
      <c r="Z28" s="10" t="inlineStr"/>
      <c r="AA28" s="11">
        <f>IF(A28="","",IF(OR(V28="Game Plan Call booked",V28="Do not call",V28="Not interested",V28="Email captured (GEO audit)",X28="Game Plan Call booked",X28="Do not call",X28="Not interested",X28="Email captured (GEO audit)",Y28&lt;&gt;""),"Done",IF(W28&lt;&gt;"",W28+3,IF(U28&lt;&gt;"",U28+2,"Call today"))))</f>
        <v/>
      </c>
      <c r="AB28" s="10" t="inlineStr"/>
      <c r="AC28" s="9" t="inlineStr"/>
      <c r="AD28" s="10" t="inlineStr"/>
      <c r="AE28" s="8" t="inlineStr"/>
      <c r="AF28" s="8" t="inlineStr"/>
    </row>
    <row r="29">
      <c r="A29" s="8" t="inlineStr"/>
      <c r="B29" s="8" t="inlineStr"/>
      <c r="C29" s="8" t="inlineStr"/>
      <c r="D29" s="8" t="inlineStr"/>
      <c r="E29" s="8" t="inlineStr"/>
      <c r="F29" s="8" t="inlineStr"/>
      <c r="G29" s="8" t="inlineStr"/>
      <c r="H29" s="8" t="inlineStr"/>
      <c r="I29" s="8" t="inlineStr"/>
      <c r="J29" s="8" t="inlineStr"/>
      <c r="K29" s="8" t="inlineStr"/>
      <c r="L29" s="8" t="inlineStr"/>
      <c r="M29" s="8" t="inlineStr"/>
      <c r="N29" s="8" t="inlineStr"/>
      <c r="O29" s="8" t="inlineStr"/>
      <c r="P29" s="8" t="inlineStr"/>
      <c r="Q29" s="8" t="inlineStr"/>
      <c r="R29" s="8" t="inlineStr"/>
      <c r="S29" s="8" t="inlineStr"/>
      <c r="T29" s="8" t="inlineStr"/>
      <c r="U29" s="9" t="inlineStr"/>
      <c r="V29" s="10" t="inlineStr"/>
      <c r="W29" s="9" t="inlineStr"/>
      <c r="X29" s="10" t="inlineStr"/>
      <c r="Y29" s="9" t="inlineStr"/>
      <c r="Z29" s="10" t="inlineStr"/>
      <c r="AA29" s="11">
        <f>IF(A29="","",IF(OR(V29="Game Plan Call booked",V29="Do not call",V29="Not interested",V29="Email captured (GEO audit)",X29="Game Plan Call booked",X29="Do not call",X29="Not interested",X29="Email captured (GEO audit)",Y29&lt;&gt;""),"Done",IF(W29&lt;&gt;"",W29+3,IF(U29&lt;&gt;"",U29+2,"Call today"))))</f>
        <v/>
      </c>
      <c r="AB29" s="10" t="inlineStr"/>
      <c r="AC29" s="9" t="inlineStr"/>
      <c r="AD29" s="10" t="inlineStr"/>
      <c r="AE29" s="8" t="inlineStr"/>
      <c r="AF29" s="8" t="inlineStr"/>
    </row>
    <row r="30">
      <c r="A30" s="8" t="inlineStr"/>
      <c r="B30" s="8" t="inlineStr"/>
      <c r="C30" s="8" t="inlineStr"/>
      <c r="D30" s="8" t="inlineStr"/>
      <c r="E30" s="8" t="inlineStr"/>
      <c r="F30" s="8" t="inlineStr"/>
      <c r="G30" s="8" t="inlineStr"/>
      <c r="H30" s="8" t="inlineStr"/>
      <c r="I30" s="8" t="inlineStr"/>
      <c r="J30" s="8" t="inlineStr"/>
      <c r="K30" s="8" t="inlineStr"/>
      <c r="L30" s="8" t="inlineStr"/>
      <c r="M30" s="8" t="inlineStr"/>
      <c r="N30" s="8" t="inlineStr"/>
      <c r="O30" s="8" t="inlineStr"/>
      <c r="P30" s="8" t="inlineStr"/>
      <c r="Q30" s="8" t="inlineStr"/>
      <c r="R30" s="8" t="inlineStr"/>
      <c r="S30" s="8" t="inlineStr"/>
      <c r="T30" s="8" t="inlineStr"/>
      <c r="U30" s="9" t="inlineStr"/>
      <c r="V30" s="10" t="inlineStr"/>
      <c r="W30" s="9" t="inlineStr"/>
      <c r="X30" s="10" t="inlineStr"/>
      <c r="Y30" s="9" t="inlineStr"/>
      <c r="Z30" s="10" t="inlineStr"/>
      <c r="AA30" s="11">
        <f>IF(A30="","",IF(OR(V30="Game Plan Call booked",V30="Do not call",V30="Not interested",V30="Email captured (GEO audit)",X30="Game Plan Call booked",X30="Do not call",X30="Not interested",X30="Email captured (GEO audit)",Y30&lt;&gt;""),"Done",IF(W30&lt;&gt;"",W30+3,IF(U30&lt;&gt;"",U30+2,"Call today"))))</f>
        <v/>
      </c>
      <c r="AB30" s="10" t="inlineStr"/>
      <c r="AC30" s="9" t="inlineStr"/>
      <c r="AD30" s="10" t="inlineStr"/>
      <c r="AE30" s="8" t="inlineStr"/>
      <c r="AF30" s="8" t="inlineStr"/>
    </row>
    <row r="31">
      <c r="A31" s="8" t="inlineStr"/>
      <c r="B31" s="8" t="inlineStr"/>
      <c r="C31" s="8" t="inlineStr"/>
      <c r="D31" s="8" t="inlineStr"/>
      <c r="E31" s="8" t="inlineStr"/>
      <c r="F31" s="8" t="inlineStr"/>
      <c r="G31" s="8" t="inlineStr"/>
      <c r="H31" s="8" t="inlineStr"/>
      <c r="I31" s="8" t="inlineStr"/>
      <c r="J31" s="8" t="inlineStr"/>
      <c r="K31" s="8" t="inlineStr"/>
      <c r="L31" s="8" t="inlineStr"/>
      <c r="M31" s="8" t="inlineStr"/>
      <c r="N31" s="8" t="inlineStr"/>
      <c r="O31" s="8" t="inlineStr"/>
      <c r="P31" s="8" t="inlineStr"/>
      <c r="Q31" s="8" t="inlineStr"/>
      <c r="R31" s="8" t="inlineStr"/>
      <c r="S31" s="8" t="inlineStr"/>
      <c r="T31" s="8" t="inlineStr"/>
      <c r="U31" s="9" t="inlineStr"/>
      <c r="V31" s="10" t="inlineStr"/>
      <c r="W31" s="9" t="inlineStr"/>
      <c r="X31" s="10" t="inlineStr"/>
      <c r="Y31" s="9" t="inlineStr"/>
      <c r="Z31" s="10" t="inlineStr"/>
      <c r="AA31" s="11">
        <f>IF(A31="","",IF(OR(V31="Game Plan Call booked",V31="Do not call",V31="Not interested",V31="Email captured (GEO audit)",X31="Game Plan Call booked",X31="Do not call",X31="Not interested",X31="Email captured (GEO audit)",Y31&lt;&gt;""),"Done",IF(W31&lt;&gt;"",W31+3,IF(U31&lt;&gt;"",U31+2,"Call today"))))</f>
        <v/>
      </c>
      <c r="AB31" s="10" t="inlineStr"/>
      <c r="AC31" s="9" t="inlineStr"/>
      <c r="AD31" s="10" t="inlineStr"/>
      <c r="AE31" s="8" t="inlineStr"/>
      <c r="AF31" s="8" t="inlineStr"/>
    </row>
    <row r="33">
      <c r="A33" s="2" t="inlineStr">
        <is>
          <t>Work top to bottom (sorted by score). Cadence: Call 1 the day the batch lands (use Best Time to Call), Call 2 two days later (leave a voicemail), Call 3 three days after that, then the email bridge. Log every call the same day. Every call ends with ask #1 (Game Plan Call) or ask #2 (email for the free GEO audit) — log 'Email captured' and put the address in Email Captured.</t>
        </is>
      </c>
    </row>
  </sheetData>
  <autoFilter ref="A1:AF31"/>
  <conditionalFormatting sqref="V2:V31">
    <cfRule type="expression" priority="1" dxfId="0">
      <formula>V2="Game Plan Call booked"</formula>
    </cfRule>
    <cfRule type="expression" priority="2" dxfId="1">
      <formula>V2="Email captured (GEO audit)"</formula>
    </cfRule>
    <cfRule type="expression" priority="3" dxfId="2">
      <formula>V2="Not interested"</formula>
    </cfRule>
    <cfRule type="expression" priority="4" dxfId="2">
      <formula>V2="Do not call"</formula>
    </cfRule>
    <cfRule type="expression" priority="5" dxfId="2">
      <formula>V2="Disconnected / wrong number"</formula>
    </cfRule>
  </conditionalFormatting>
  <conditionalFormatting sqref="X2:X31">
    <cfRule type="expression" priority="6" dxfId="0">
      <formula>X2="Game Plan Call booked"</formula>
    </cfRule>
    <cfRule type="expression" priority="7" dxfId="1">
      <formula>X2="Email captured (GEO audit)"</formula>
    </cfRule>
    <cfRule type="expression" priority="8" dxfId="2">
      <formula>X2="Not interested"</formula>
    </cfRule>
    <cfRule type="expression" priority="9" dxfId="2">
      <formula>X2="Do not call"</formula>
    </cfRule>
    <cfRule type="expression" priority="10" dxfId="2">
      <formula>X2="Disconnected / wrong number"</formula>
    </cfRule>
  </conditionalFormatting>
  <conditionalFormatting sqref="Z2:Z31">
    <cfRule type="expression" priority="11" dxfId="0">
      <formula>Z2="Game Plan Call booked"</formula>
    </cfRule>
    <cfRule type="expression" priority="12" dxfId="1">
      <formula>Z2="Email captured (GEO audit)"</formula>
    </cfRule>
    <cfRule type="expression" priority="13" dxfId="2">
      <formula>Z2="Not interested"</formula>
    </cfRule>
    <cfRule type="expression" priority="14" dxfId="2">
      <formula>Z2="Do not call"</formula>
    </cfRule>
    <cfRule type="expression" priority="15" dxfId="2">
      <formula>Z2="Disconnected / wrong number"</formula>
    </cfRule>
  </conditionalFormatting>
  <dataValidations count="3">
    <dataValidation sqref="V2:V31" showDropDown="0" showInputMessage="0" showErrorMessage="0" allowBlank="1" type="list">
      <formula1>"No answer,Voicemail left,Answering machine (no VM),Gatekeeper — owner not available,Call back requested,Not interested,Disconnected / wrong number,Email captured (GEO audit),Game Plan Call booked,Do not call"</formula1>
    </dataValidation>
    <dataValidation sqref="X2:X31" showDropDown="0" showInputMessage="0" showErrorMessage="0" allowBlank="1" type="list">
      <formula1>"No answer,Voicemail left,Answering machine (no VM),Gatekeeper — owner not available,Call back requested,Not interested,Disconnected / wrong number,Email captured (GEO audit),Game Plan Call booked,Do not call"</formula1>
    </dataValidation>
    <dataValidation sqref="Z2:Z31" showDropDown="0" showInputMessage="0" showErrorMessage="0" allowBlank="1" type="list">
      <formula1>"No answer,Voicemail left,Answering machine (no VM),Gatekeeper — owner not available,Call back requested,Not interested,Disconnected / wrong number,Email captured (GEO audit),Game Plan Call booked,Do not call"</formula1>
    </dataValidation>
  </dataValidations>
  <pageMargins left="0.75" right="0.75" top="1" bottom="1" header="0.5" footer="0.5"/>
  <legacyDrawing xmlns:r="http://schemas.openxmlformats.org/officeDocument/2006/relationships" r:id="anysvml"/>
</worksheet>
</file>

<file path=xl/worksheets/sheet3.xml><?xml version="1.0" encoding="utf-8"?>
<worksheet xmlns="http://schemas.openxmlformats.org/spreadsheetml/2006/main">
  <sheetPr>
    <outlinePr summaryBelow="1" summaryRight="1"/>
    <pageSetUpPr/>
  </sheetPr>
  <dimension ref="A1:BT61"/>
  <sheetViews>
    <sheetView workbookViewId="0">
      <pane xSplit="8" ySplit="1" topLeftCell="I2" activePane="bottomRight" state="frozen"/>
      <selection pane="topRight"/>
      <selection pane="bottomLeft"/>
      <selection pane="bottomRight" activeCell="A1" sqref="A1"/>
    </sheetView>
  </sheetViews>
  <sheetFormatPr baseColWidth="8" defaultRowHeight="15"/>
  <cols>
    <col width="14" customWidth="1" min="1" max="1"/>
    <col width="11" customWidth="1" min="2" max="2"/>
    <col width="8" customWidth="1" min="3" max="3"/>
    <col width="14" customWidth="1" min="4" max="4"/>
    <col width="14" customWidth="1" min="5" max="5"/>
    <col width="9" customWidth="1" min="6" max="6"/>
    <col width="16" customWidth="1" min="7" max="7"/>
    <col width="28" customWidth="1" min="8" max="8"/>
    <col width="13" customWidth="1" min="9" max="9"/>
    <col width="13" customWidth="1" min="10" max="10"/>
    <col width="16" customWidth="1" min="11" max="11"/>
    <col width="28" customWidth="1" min="12" max="12"/>
    <col width="16" customWidth="1" min="13" max="13"/>
    <col width="14" customWidth="1" min="14" max="14"/>
    <col width="17" customWidth="1" min="15" max="15"/>
    <col width="17" customWidth="1" min="16" max="16"/>
    <col width="16" customWidth="1" min="17" max="17"/>
    <col width="10" customWidth="1" min="18" max="18"/>
    <col width="15" customWidth="1" min="19" max="19"/>
    <col width="7" customWidth="1" min="20" max="20"/>
    <col width="40" customWidth="1" min="21" max="21"/>
    <col width="22" customWidth="1" min="22" max="22"/>
    <col width="22" customWidth="1" min="23" max="23"/>
    <col width="12" customWidth="1" min="24" max="24"/>
    <col width="34" customWidth="1" min="25" max="25"/>
    <col width="50" customWidth="1" min="26" max="26"/>
    <col width="50" customWidth="1" min="27" max="27"/>
    <col width="40" customWidth="1" min="28" max="28"/>
    <col width="55" customWidth="1" min="29" max="29"/>
    <col width="30" customWidth="1" min="30" max="30"/>
    <col width="24" customWidth="1" min="31" max="31"/>
    <col width="10" customWidth="1" min="32" max="32"/>
    <col width="36" customWidth="1" min="33" max="33"/>
    <col width="40" customWidth="1" min="34" max="34"/>
    <col width="50" customWidth="1" min="35" max="35"/>
    <col width="36" customWidth="1" min="36" max="36"/>
    <col width="44" customWidth="1" min="37" max="37"/>
    <col width="44" customWidth="1" min="38" max="38"/>
    <col width="44" customWidth="1" min="39" max="39"/>
    <col width="20" customWidth="1" min="40" max="40"/>
    <col width="30" customWidth="1" min="41" max="41"/>
    <col width="30" customWidth="1" min="42" max="42"/>
    <col width="30" customWidth="1" min="43" max="43"/>
    <col width="26" customWidth="1" min="44" max="44"/>
    <col width="28" customWidth="1" min="45" max="45"/>
    <col width="8" customWidth="1" min="46" max="46"/>
    <col width="26" customWidth="1" min="47" max="47"/>
    <col width="26" customWidth="1" min="48" max="48"/>
    <col width="9" customWidth="1" min="49" max="49"/>
    <col width="9" customWidth="1" min="50" max="50"/>
    <col width="16" customWidth="1" min="51" max="51"/>
    <col width="14" customWidth="1" min="52" max="52"/>
    <col width="9" customWidth="1" min="53" max="53"/>
    <col width="30" customWidth="1" min="54" max="54"/>
    <col width="16" customWidth="1" min="55" max="55"/>
    <col width="16" customWidth="1" min="56" max="56"/>
    <col width="14" customWidth="1" min="57" max="57"/>
    <col width="30" customWidth="1" min="58" max="58"/>
    <col width="30" customWidth="1" min="59" max="59"/>
    <col width="16" customWidth="1" min="60" max="60"/>
    <col width="16" customWidth="1" min="61" max="61"/>
    <col width="30" customWidth="1" min="62" max="62"/>
    <col width="24" customWidth="1" min="63" max="63"/>
    <col width="30" customWidth="1" min="64" max="64"/>
    <col width="30" customWidth="1" min="65" max="65"/>
    <col width="60" customWidth="1" min="66" max="66"/>
    <col width="60" customWidth="1" min="67" max="67"/>
    <col width="12" customWidth="1" min="68" max="68"/>
    <col width="50" customWidth="1" min="69" max="69"/>
    <col width="40" customWidth="1" min="70" max="70"/>
    <col width="22" customWidth="1" min="71" max="71"/>
    <col width="12" customWidth="1" min="72" max="72"/>
  </cols>
  <sheetData>
    <row r="1" ht="32" customHeight="1">
      <c r="A1" s="7" t="inlineStr">
        <is>
          <t>Lead ID</t>
        </is>
      </c>
      <c r="B1" s="7" t="inlineStr">
        <is>
          <t>Date Added</t>
        </is>
      </c>
      <c r="C1" s="7" t="inlineStr">
        <is>
          <t>Batch</t>
        </is>
      </c>
      <c r="D1" s="7" t="inlineStr">
        <is>
          <t>Review Decision</t>
        </is>
      </c>
      <c r="E1" s="7" t="inlineStr">
        <is>
          <t>Status</t>
        </is>
      </c>
      <c r="F1" s="7" t="inlineStr">
        <is>
          <t>Lead Score</t>
        </is>
      </c>
      <c r="G1" s="7" t="inlineStr">
        <is>
          <t>Score Band</t>
        </is>
      </c>
      <c r="H1" s="7" t="inlineStr">
        <is>
          <t>Company Name</t>
        </is>
      </c>
      <c r="I1" s="7" t="inlineStr">
        <is>
          <t>Owner First Name</t>
        </is>
      </c>
      <c r="J1" s="7" t="inlineStr">
        <is>
          <t>Owner Last Name</t>
        </is>
      </c>
      <c r="K1" s="7" t="inlineStr">
        <is>
          <t>Owner Title</t>
        </is>
      </c>
      <c r="L1" s="7" t="inlineStr">
        <is>
          <t>Owner Email</t>
        </is>
      </c>
      <c r="M1" s="7" t="inlineStr">
        <is>
          <t>Owner Email Type</t>
        </is>
      </c>
      <c r="N1" s="7" t="inlineStr">
        <is>
          <t>Owner Email Confidence</t>
        </is>
      </c>
      <c r="O1" s="7" t="inlineStr">
        <is>
          <t>Owner Direct Phone</t>
        </is>
      </c>
      <c r="P1" s="7" t="inlineStr">
        <is>
          <t>Company Phone</t>
        </is>
      </c>
      <c r="Q1" s="7" t="inlineStr">
        <is>
          <t>Niche</t>
        </is>
      </c>
      <c r="R1" s="7" t="inlineStr">
        <is>
          <t>Niche Segment</t>
        </is>
      </c>
      <c r="S1" s="7" t="inlineStr">
        <is>
          <t>City</t>
        </is>
      </c>
      <c r="T1" s="7" t="inlineStr">
        <is>
          <t>State</t>
        </is>
      </c>
      <c r="U1" s="7" t="inlineStr">
        <is>
          <t>Why Now</t>
        </is>
      </c>
      <c r="V1" s="7" t="inlineStr">
        <is>
          <t>Attitude Type</t>
        </is>
      </c>
      <c r="W1" s="7" t="inlineStr">
        <is>
          <t>Recommended Entry Offer</t>
        </is>
      </c>
      <c r="X1" s="7" t="inlineStr">
        <is>
          <t>First-Fit Tier</t>
        </is>
      </c>
      <c r="Y1" s="7" t="inlineStr">
        <is>
          <t>Suggested Subject Line</t>
        </is>
      </c>
      <c r="Z1" s="7" t="inlineStr">
        <is>
          <t>Personalized First Line</t>
        </is>
      </c>
      <c r="AA1" s="7" t="inlineStr">
        <is>
          <t>Call Angle</t>
        </is>
      </c>
      <c r="AB1" s="7" t="inlineStr">
        <is>
          <t>Likely Objection</t>
        </is>
      </c>
      <c r="AC1" s="7" t="inlineStr">
        <is>
          <t>Call Opener (20 sec)</t>
        </is>
      </c>
      <c r="AD1" s="7" t="inlineStr">
        <is>
          <t>Best Time to Call</t>
        </is>
      </c>
      <c r="AE1" s="7" t="inlineStr">
        <is>
          <t>Business Hours</t>
        </is>
      </c>
      <c r="AF1" s="7" t="inlineStr">
        <is>
          <t>Timezone</t>
        </is>
      </c>
      <c r="AG1" s="7" t="inlineStr">
        <is>
          <t>Gatekeeper Notes</t>
        </is>
      </c>
      <c r="AH1" s="7" t="inlineStr">
        <is>
          <t>Best Opening Moment</t>
        </is>
      </c>
      <c r="AI1" s="7" t="inlineStr">
        <is>
          <t>Pain Signals</t>
        </is>
      </c>
      <c r="AJ1" s="7" t="inlineStr">
        <is>
          <t>Trigger Events</t>
        </is>
      </c>
      <c r="AK1" s="7" t="inlineStr">
        <is>
          <t>Attitude Evidence</t>
        </is>
      </c>
      <c r="AL1" s="7" t="inlineStr">
        <is>
          <t>Owner Background</t>
        </is>
      </c>
      <c r="AM1" s="7" t="inlineStr">
        <is>
          <t>Owner Personality / Values Cues</t>
        </is>
      </c>
      <c r="AN1" s="7" t="inlineStr">
        <is>
          <t>Owner Role Type</t>
        </is>
      </c>
      <c r="AO1" s="7" t="inlineStr">
        <is>
          <t>Owner LinkedIn</t>
        </is>
      </c>
      <c r="AP1" s="7" t="inlineStr">
        <is>
          <t>Owner Other Socials</t>
        </is>
      </c>
      <c r="AQ1" s="7" t="inlineStr">
        <is>
          <t>Website</t>
        </is>
      </c>
      <c r="AR1" s="7" t="inlineStr">
        <is>
          <t>Company Email (generic)</t>
        </is>
      </c>
      <c r="AS1" s="7" t="inlineStr">
        <is>
          <t>Street Address</t>
        </is>
      </c>
      <c r="AT1" s="7" t="inlineStr">
        <is>
          <t>ZIP</t>
        </is>
      </c>
      <c r="AU1" s="7" t="inlineStr">
        <is>
          <t>Service Area</t>
        </is>
      </c>
      <c r="AV1" s="7" t="inlineStr">
        <is>
          <t>Google Maps URL</t>
        </is>
      </c>
      <c r="AW1" s="7" t="inlineStr">
        <is>
          <t>Google Rating</t>
        </is>
      </c>
      <c r="AX1" s="7" t="inlineStr">
        <is>
          <t>Review Count</t>
        </is>
      </c>
      <c r="AY1" s="7" t="inlineStr">
        <is>
          <t>Founded / Years in Business</t>
        </is>
      </c>
      <c r="AZ1" s="7" t="inlineStr">
        <is>
          <t>Team Size (est.)</t>
        </is>
      </c>
      <c r="BA1" s="7" t="inlineStr">
        <is>
          <t>Locations</t>
        </is>
      </c>
      <c r="BB1" s="7" t="inlineStr">
        <is>
          <t>Sub-services</t>
        </is>
      </c>
      <c r="BC1" s="7" t="inlineStr">
        <is>
          <t>Tech Adoption</t>
        </is>
      </c>
      <c r="BD1" s="7" t="inlineStr">
        <is>
          <t>Marketing Sophistication</t>
        </is>
      </c>
      <c r="BE1" s="7" t="inlineStr">
        <is>
          <t>Growth Stage</t>
        </is>
      </c>
      <c r="BF1" s="7" t="inlineStr">
        <is>
          <t>Review Response Behavior</t>
        </is>
      </c>
      <c r="BG1" s="7" t="inlineStr">
        <is>
          <t>After-Hours Handling</t>
        </is>
      </c>
      <c r="BH1" s="7" t="inlineStr">
        <is>
          <t>Online Booking</t>
        </is>
      </c>
      <c r="BI1" s="7" t="inlineStr">
        <is>
          <t>Chat / Text on Site</t>
        </is>
      </c>
      <c r="BJ1" s="7" t="inlineStr">
        <is>
          <t>Vendors Detected</t>
        </is>
      </c>
      <c r="BK1" s="7" t="inlineStr">
        <is>
          <t>Ads Running</t>
        </is>
      </c>
      <c r="BL1" s="7" t="inlineStr">
        <is>
          <t>AI Search Presence</t>
        </is>
      </c>
      <c r="BM1" s="7" t="inlineStr">
        <is>
          <t>Disqualifier Check</t>
        </is>
      </c>
      <c r="BN1" s="7" t="inlineStr">
        <is>
          <t>Score Breakdown</t>
        </is>
      </c>
      <c r="BO1" s="7" t="inlineStr">
        <is>
          <t>Evidence Links</t>
        </is>
      </c>
      <c r="BP1" s="7" t="inlineStr">
        <is>
          <t>Research Confidence</t>
        </is>
      </c>
      <c r="BQ1" s="7" t="inlineStr">
        <is>
          <t>Notes for Chosen</t>
        </is>
      </c>
      <c r="BR1" s="7" t="inlineStr">
        <is>
          <t>Reviewer Notes</t>
        </is>
      </c>
      <c r="BS1" s="7" t="inlineStr">
        <is>
          <t>GHL Contact ID</t>
        </is>
      </c>
      <c r="BT1" s="7" t="inlineStr">
        <is>
          <t>Loaded to GHL</t>
        </is>
      </c>
    </row>
    <row r="2" ht="120" customHeight="1">
      <c r="A2" s="8" t="inlineStr">
        <is>
          <t>20261012-01</t>
        </is>
      </c>
      <c r="B2" s="8" t="inlineStr">
        <is>
          <t>2026-10-12</t>
        </is>
      </c>
      <c r="C2" s="8" t="n">
        <v>1</v>
      </c>
      <c r="D2" s="10" t="inlineStr"/>
      <c r="E2" s="10" t="inlineStr">
        <is>
          <t>New</t>
        </is>
      </c>
      <c r="F2" s="8" t="n">
        <v>71</v>
      </c>
      <c r="G2" s="8">
        <f>IF(F2="","",IF(F2&gt;=80,"A — send today",IF(F2&gt;=60,"B — worth a touch",IF(F2&gt;=40,"C — hold","D — reject"))))</f>
        <v/>
      </c>
      <c r="H2" s="8" t="inlineStr">
        <is>
          <t>Howard Injury Law</t>
        </is>
      </c>
      <c r="I2" s="8" t="inlineStr">
        <is>
          <t>Glen</t>
        </is>
      </c>
      <c r="J2" s="8" t="inlineStr">
        <is>
          <t>Howard</t>
        </is>
      </c>
      <c r="K2" s="8" t="inlineStr">
        <is>
          <t>Attorney</t>
        </is>
      </c>
      <c r="L2" s="8" t="inlineStr">
        <is>
          <t>ghoward@howardinjurylaw.com</t>
        </is>
      </c>
      <c r="M2" s="8" t="inlineStr">
        <is>
          <t>Personal (named)</t>
        </is>
      </c>
      <c r="N2" s="8" t="inlineStr">
        <is>
          <t>Confirmed</t>
        </is>
      </c>
      <c r="O2" s="8" t="inlineStr">
        <is>
          <t>Not found (a client review says Glen shared his personal cell, but no direct line is published; main line +1 702-331-5722, fax +1 702-629-7161 per site and NV Bar)</t>
        </is>
      </c>
      <c r="P2" s="8" t="inlineStr">
        <is>
          <t>+1 702-331-5722</t>
        </is>
      </c>
      <c r="Q2" s="8" t="inlineStr">
        <is>
          <t>Personal injury law</t>
        </is>
      </c>
      <c r="R2" s="8" t="inlineStr">
        <is>
          <t>core</t>
        </is>
      </c>
      <c r="S2" s="8" t="inlineStr">
        <is>
          <t>Las Vegas</t>
        </is>
      </c>
      <c r="T2" s="8" t="inlineStr">
        <is>
          <t>NV</t>
        </is>
      </c>
      <c r="U2" s="8" t="inlineStr">
        <is>
          <t>He is investing in traffic right now - eight blog posts updated Oct 12-13, 2026, a Spanish video campaign and /es/ landing pages, call tracking and a Meta pixel on the site - so more ad-driven and organic calls are landing on a single-attorney firm whose published after-hours plan is a chat widget and the owner's cell. In PI, one signed case is a $5k+ fee and an injured caller who hits voicemail dials the next firm. No event-driven trigger was found, so position this as a 'first voice layer' conversation rather than a reaction to something.</t>
        </is>
      </c>
      <c r="V2" s="8" t="inlineStr">
        <is>
          <t>Growth-Minded Operator (secondary: Tech-Forward Early Adopter) - confidence medium</t>
        </is>
      </c>
      <c r="W2" s="8" t="inlineStr">
        <is>
          <t>Free GEO audit (Chosen's matrix entry for PI law) paired with a bilingual (English/Spanish) AI voice-receptionist demo line built from howardinjurylaw.com; lead product on the Game Plan Call = AI voice receptionist with empathetic no-advice intake + missed-call text-back / speed-to-lead; GEO as the add-on. No prices in any asset.</t>
        </is>
      </c>
      <c r="X2" s="8" t="inlineStr">
        <is>
          <t>Own</t>
        </is>
      </c>
      <c r="Y2" s="8" t="inlineStr">
        <is>
          <t>who answers 'Talk with Glen' at 9pm?</t>
        </is>
      </c>
      <c r="Z2" s="8" t="inlineStr">
        <is>
          <t>Your homepage says 'Free Case Review - 24/7, Talk with Glen'; your contact page says Mon-Fri 9 to 5. Curious what covers that gap at 9pm.</t>
        </is>
      </c>
      <c r="AA2" s="8" t="inlineStr">
        <is>
          <t>Missed-call / after-hours bilingual intake is the wedge; the free GEO audit is the door-opener. Acknowledge he already pays for calls (CallRail tracking, Meta pixel, an ads agency) and that the site promises 24/7 in four languages with one attorney and three staff on a 9-to-5 office line. E4L's receptionist, trained on his own site, answers every missed or after-hours call, runs an empathetic intake (date of injury, treatment, insurer, no legal advice) in English or Spanish, books the consult, and texts back every missed call in under a minute - the caller never reaches the next firm on Google. Proof lever: a demo line built from howardinjurylaw.com he can call before paying anything. Respect his Intaker chat: it handles web chat/text, not the ringing phone. Never promise case volume or outcomes.</t>
        </is>
      </c>
      <c r="AB2" s="8" t="inlineStr">
        <is>
          <t>'We're already covered 24/7 - we have Intaker chat and texting, and clients can reach me on my cell.' Answer: chat and text catch the people who type; the voice agent catches the ones who dial at 9pm and get voicemail, and it drops them into the same intake - go-live is one conditional call-forwarding rule on missed/busy calls. Second objection: 'We already have an agency (Storm Media) doing SEO and GEO' - the audit is free, show the screenshots, do not bash the agency; pivot to the phone. Third (PI-specific): 'I get pitched by marketing guys every day' - lead with the demo number and one verifiable observation, not a pitch.</t>
        </is>
      </c>
      <c r="AC2" s="8" t="inlineStr">
        <is>
          <t>"Hi Glen, this is Sam with Eat 4 Life Marketing - this is a cold call, so feel free to hang up on me. I was on howardinjurylaw.com last night: the header says 'Free Case Review, 24/7, Talk with Glen,' and your contact page says Monday to Friday, 9 to 5. When a crash victim calls at 9pm, or calls in Spanish, who picks up right now - you, voicemail, or nobody? We build an AI receptionist trained on your own site that answers those calls, does a no-advice intake in English or Spanish, and books the consult - and we put a demo line on the phone you can call before you pay a dollar. Can I take 20 seconds to tell you how it works, or should I just send the demo number to ghoward@?"</t>
        </is>
      </c>
      <c r="AD2" s="8" t="inlineStr">
        <is>
          <t>Tue-Thu 9:00-10:30 AM PT, right after the office opens at 9 and before Glen is on adjuster calls/court (he negotiates every bodily-injury case personally per the site FAQ schema); fallback Tue-Thu 4:00-4:45 PM PT before the 5 PM close. Avoid Mondays (post-weekend intake pile-up for a 3-person case team). The main line is CallRail-tracked and staffed by the case team during 9-5; ask for Glen by first name.</t>
        </is>
      </c>
      <c r="AE2" s="8" t="inlineStr">
        <is>
          <t>Office: 'Monday to Friday, 9AM to 5PM PST' (site contact block, https://www.howardinjurylaw.com/contact-us/ and footer). Same page/header also says 'Free Consultation · Available 24/7' and JSON-LD Attorney schema claims openingHours 'Mo,Tu,We,Th,Fr,Sa,Su 24/7' (00:00-23:59). Spanish page: 'De lunes a viernes, de 9:00 a 17:00 (hora del Pacifico)' vs 'Consulta gratuita las 24 horas, los 7 dias de la semana'. GBP hours not opened directly.</t>
        </is>
      </c>
      <c r="AF2" s="8" t="inlineStr">
        <is>
          <t>America/Los_Angeles - Pacific Time (PDT, UTC-7 in October); Las Vegas, NV</t>
        </is>
      </c>
      <c r="AG2" s="8" t="inlineStr">
        <is>
          <t>Main line +1 702-331-5722 is the office line (CallRail dynamic-swap tracked); no receptionist is named anywhere. Case team per About page (https://www.howardinjurylaw.com/about-us/): James Martin (15+ yrs legal field, role not stated; several Google reviews on the site name James, one calls him the case manager), Vanessa Kitchen (20+ yrs medical field, 10+ yrs practice administrator and marketing - most likely the office/ops lead and the best internal champion), Nathalie Sanabria (case manager). No answering service, call center or AI receptionist is credited; after hours the only named channel is the Intaker chat/text widget ('our 24/7 chat below'; YouTube bio '24/7 Help: intaker.com/howardinjurylaw/pi'). A Google review on the site says 'I had the lawyers personal cell number' - the cell is NOT published; do not ask for it. If the team answers: 'Hi, is Glen in? It's Sam - it's about the 24/7 line on the website.' If Vanessa answers, pitch her as champion (she ran a medical-practice front desk) and ask for 15 minutes with Glen. Careers page is 404; no job posts found (Indeed blocked), so no receptionist hire to reference.</t>
        </is>
      </c>
      <c r="AH2" s="8" t="inlineStr">
        <is>
          <t>The 24/7 promise on a one-attorney firm: homepage 'Free Case Review - 24/7 Talk with Glen!' and 'we're available 24/7 at (702) 331-5722' vs the contact block 'Monday to Friday, 9AM to 5PM PST' (https://www.howardinjurylaw.com/ and /contact-us/). Neutral, verifiable in 10 seconds, ties straight to the after-hours/bilingual intake gap. Secondary: his own 'we trained there' insurance-defense angle - he sells on knowing the other side's playbook, so frame E4L as showing him the caller's side of the phone.</t>
        </is>
      </c>
      <c r="AI2" s="8" t="inlineStr">
        <is>
          <t>(1) Hours gap, verbatim: 'Free Case Review - 24/7 Talk with Glen!' / 'we're available 24/7 at (702) 331-5722' vs 'Monday to Friday, 9AM to 5PM PST' (https://www.howardinjurylaw.com/, /contact-us/); Spanish page: 'Consulta gratuita las 24 horas, los 7 dias de la semana' vs 'De lunes a viernes, de 9:00 a 17:00 (hora del Pacifico)' (https://www.howardinjurylaw.com/es/). (2) Single attorney carrying the promise: FAQ schema 'Your bodily injury case is negotiated directly by attorney Glen A. Howard'; About page shows 1 attorney + 3 staff. (3) Owner's cell is the after-hours plan: review on site 'I had the lawyers personal cell number ... answered calls and questions within 24 hours' (https://www.howardinjurylaw.com/testimonials/) - 24 hours, not 60 seconds. (4) Bilingual promise with no named bilingual intake: homepage 'Our team serves clients in English, Spanish, Cantonese, and Mandarin' while the /es/ page names no Spanish-speaking staff member. (5) Paying for calls already (CallRail, Meta pixel, AdsBot allowance) with no phone coverage vendor named. No responsiveness complaints found in accessible reviews (they praise communication); Google lowest-rated, Yelp, Avvo and Indeed could not be opened.</t>
        </is>
      </c>
      <c r="AJ2" s="8" t="inlineStr">
        <is>
          <t>No dated trigger within 60 days found. Soft activity: 8 slip-and-fall blog posts updated 2026-10-12/13 and page-sitemap updated 2026-10-12 (https://www.howardinjurylaw.com/post-sitemap.xml); About-page images uploaded 2026-02 and 2026-03; Spanish video campaign uploaded 2025-11-19 and 'Better Call Howard' owner video 2025-09-25 (site JSON-LD); robots.txt created 2025-11-08; Wayback shows the site live 2022-12-23 and 2026-05-16 (redesign diff not possible - snapshot fetch 403; logo file dated 2024/10 suggests a 2024 refresh). Not checked: Indeed/ZipRecruiter (403), Meta Ad Library (blocked), Nevada SOS (JS-only), local news (search unavailable). Careers page 404.</t>
        </is>
      </c>
      <c r="AK2" s="8" t="inlineStr">
        <is>
          <t>(1) Paying for leads: CallRail dynamic number swap (cdn.callrail.com swap.js) and Meta pixel id 3636794976532839 in homepage source; robots.txt explicitly allows AdsBot-Google for / and /es/ (Google Ads landing-page crawler) - https://www.howardinjurylaw.com/ and /robots.txt, seen 2026-10-13. (2) Site actively invested in: post-sitemap shows 8 slip-and-fall posts updated 2026-10-12/13, page-sitemap 2026-10-12, About images uploaded 2026-02/03, Spanish /es/ section and Spanish video campaign (JSON-LD uploadDate 2025-11-19) - https://www.howardinjurylaw.com/post-sitemap.xml. (3) Tech adoption: Intaker 24/7 chat/intake widget, 'Text Us' sms: link, GTM, FAQPage/LegalService/Attorney/VideoObject/HowTo schema, agency credit 'Powered by Storm Media LLC' (SEO/web/paid ads/'SEO + GEO + AEO'). (4) Owner on camera: 'Better Call Howard' video (Glen urges victims to call before signing), YouTube channel with 5 firm videos incl. Spanish. (5) Growth posture: awards wall, 'Serving NV, CA, AZ, and CO', '$80M+ Recovered, 1,000+ Clients'. No negatives observed (BBB A+, 0 complaints in 3 years; no hostile replies seen - Google review replies not accessible). Sources: website + YouTube + BBB = 3 categories.</t>
        </is>
      </c>
      <c r="AL2" s="8" t="inlineStr">
        <is>
          <t>Self-stated on About page (https://www.howardinjurylaw.com/about-us/): raised in Cleveland; Ohio State University B.S. Resource Management 1998; two years as an executive consultant to Fortune 500 companies; Thomas Jefferson School of Law J.D. 2003; moved to Las Vegas 2003 and worked at a multi-state insurance defense firm; licensed in Nevada state and federal courts 2004 (NV Bar confirms admission 10/20/2004, Thomas Jefferson); Kring &amp; Chung LLP 2005-2007; Jack Bernstein &amp; Associates LLP, Senior Attorney 2007-2013; Bourassa Law Group, Senior Attorney 2013-2017; founded Howard Injury Law 2017. Homepage claims '$80M+ Recovered, 20+ Years, 1,000+ Clients'. Awards listed on site (awarding-org pages not verified): NAOPIA Top Ten Attorney 2022, Avvo Clients' Choice 2020, Super Lawyers 2021, National Trial Lawyers Top 100, Million Dollar Advocates Forum, U.S. News Best Law Firms, American Institute of Legal Counsel 10 Best (workers' comp). NV Bar: 'Disciplinary Actions: None.'</t>
        </is>
      </c>
      <c r="AM2" s="8" t="inlineStr">
        <is>
          <t>Tone: confident, direct, insider-angle with warmth. Verbatim site lines: 'We Know How Insurance Companies Think - Because We Trained There'; 'Glen Howard started his career on the insurance defense side. He learned their playbook, then switched sides. Now he uses it against them - for you.'; 'Free Case Review - 24/7 Talk with Glen!'; 'Las Vegas is diverse - your legal team should be too.' YouTube bio: 'Trust HOWARD. Get EmpHOWARD' and a 'Better Call Howard' video - likes a pun, comfortable on camera. Reviews repeatedly say 'like family' and praise Glen's communication ('extremely communicative and attentive'). Brags: only handles PI, defense-side experience, no fee unless we win, 4-language team, awards wall, 'Dedicated medical case manager'. Mirror: short, plain, specific; respect that he is pitched daily.</t>
        </is>
      </c>
      <c r="AN2" s="8" t="inlineStr">
        <is>
          <t>Owner-operator</t>
        </is>
      </c>
      <c r="AO2" s="8" t="inlineStr">
        <is>
          <t>Not found (no LinkedIn link on site; LinkedIn and web search were not reachable from this session)</t>
        </is>
      </c>
      <c r="AP2" s="8" t="inlineStr">
        <is>
          <t>Owner Avvo profile (linked from site): https://www.avvo.com/attorneys/89146-nv-glen-howard-1770669.html. Firm accounts linked in site footer: https://www.facebook.com/howardinjurylaw, https://www.instagram.com/howard.injury.law/, https://www.tiktok.com/@howard.injury.law, https://www.youtube.com/@HowardInjuryLaw (31 subscribers; Glen on camera in 'Better Call Howard', uploaded 2025-09-25 per site JSON-LD), https://x.com/HowardInjuryLV. Follower counts/post recency for FB/IG/TikTok/X could not be opened (blocked).</t>
        </is>
      </c>
      <c r="AQ2" s="8" t="inlineStr">
        <is>
          <t>https://www.howardinjurylaw.com</t>
        </is>
      </c>
      <c r="AR2" s="8" t="inlineStr">
        <is>
          <t>Not found (only ghoward@howardinjurylaw.com is published; no info@/office@ anywhere on site, NV Bar or BBB)</t>
        </is>
      </c>
      <c r="AS2" s="8" t="inlineStr">
        <is>
          <t>6330 Spring Mountain Rd. Suite D, Las Vegas, NV 89146 (site contact block, NV State Bar record and BBB all agree)</t>
        </is>
      </c>
      <c r="AT2" s="8" t="inlineStr">
        <is>
          <t>89146</t>
        </is>
      </c>
      <c r="AU2" s="8" t="inlineStr">
        <is>
          <t>Contact page: 'Serving All of Nevada &amp; Surrounding Areas' - Las Vegas Strip, Downtown, Henderson, North Las Vegas, Reno/Lake Tahoe, Paradise, Spring Valley, Enterprise, Summerlin, Pahrump, Mesquite, Elko, Boulder City, East Las Vegas, Laughlin, Ely, Beatty, plus California, Arizona, Colorado; YouTube bio: 'Serving NV, CA, AZ, and CO'</t>
        </is>
      </c>
      <c r="AV2" s="8" t="inlineStr">
        <is>
          <t>https://maps.app.goo.gl/s24pLXgDGgEK61R8A (review link on site); https://www.google.com/maps/place/Howard+Injury+Law/@36.1259265,-115.2301308,17z</t>
        </is>
      </c>
      <c r="AW2" s="8" t="inlineStr">
        <is>
          <t>4.9 (site JSON-LD AggregateRating on https://www.howardinjurylaw.com/; GBP not opened directly - Maps is JS-only from this session)</t>
        </is>
      </c>
      <c r="AX2" s="8" t="inlineStr">
        <is>
          <t>122 (site JSON-LD reviewCount; newest embedded Google reviews dated 2026-02, 2026-01, 2025-07; GBP not opened directly)</t>
        </is>
      </c>
      <c r="AY2" s="8" t="inlineStr">
        <is>
          <t>2017 (About page: 'Howard Injury Law, Partner/Owner, Personal Injury Since 2017'; domain registered 2017-05-31 per RDAP; BBB structured data foundingDate 2017-05-16). Glen admitted to NV Bar 10/20/2004.</t>
        </is>
      </c>
      <c r="AZ2" s="8" t="inlineStr">
        <is>
          <t>4 - 1 attorney (Glen A. Howard) + 3 named staff on About page: James Martin (15+ yrs legal field, role not stated), Vanessa Kitchen (20+ yrs medical field, 10+ yrs practice administrator/marketing, title not stated), Nathalie Sanabria (case manager)</t>
        </is>
      </c>
      <c r="BA2" s="8" t="inlineStr">
        <is>
          <t>1 (6330 Spring Mountain Rd Ste D; single address on site, NV Bar and BBB)</t>
        </is>
      </c>
      <c r="BB2" s="8" t="inlineStr">
        <is>
          <t>Motor vehicle accidents (car, rear-end, head-on, rollover, T-bone, motorcycle, trucking, rideshare/taxi, DUI, pedestrian, e-bike/e-scooter, bicycle, hit &amp; run, bus, boat, vehicle defects); premises liability (slip &amp; fall, casino injury, foodborne illness, dog/animal attack); workers' comp third-party; wrongful death; catastrophic injury; product defects; medical malpractice / hospital negligence. Spanish-language /es/ section.</t>
        </is>
      </c>
      <c r="BC2" s="8" t="inlineStr">
        <is>
          <t>advanced - Intaker chat/intake widget (intaker.azureedge.net/widget/chat.min.js), click-to-text (sms:7023315722), CallRail call tracking, Google Tag Manager/gtag, Meta pixel, reCAPTCHA form, rich JSON-LD (FAQPage, LegalService+AggregateRating, Attorney, VideoObject, HowTo), WordPress/Elementor, Google Workspace mail (MX aspmx.l.google.com). No online scheduler detected.</t>
        </is>
      </c>
      <c r="BD2" s="8" t="inlineStr">
        <is>
          <t>agency_managed - footer 'Powered by Storm Media LLC' (stormmedia.digital: SEO, web, Meta/Google paid ads, 'SEO + GEO + AEO', YouTube/GBP management; general agency, gmail contact, no law-firm specialty stated); CallRail + Meta pixel + AdsBot allowance; branded video content in English and Spanish; blog actively updated.</t>
        </is>
      </c>
      <c r="BE2" s="8" t="inlineStr">
        <is>
          <t>established - founded 2017, 122 Google reviews at 4.9 (site JSON-LD) with reviews dated Jan-Feb 2026, stable 4-person team, single office, multi-state service claims; no hiring evidence (careers 404, Indeed blocked).</t>
        </is>
      </c>
      <c r="BF2" s="8" t="inlineStr">
        <is>
          <t>unknown - Google review replies could not be opened (Maps JS-only), Yelp and Avvo returned 403; BBB shows 0 complaints in 3 years and 0 BBB reviews.</t>
        </is>
      </c>
      <c r="BG2" s="8" t="inlineStr">
        <is>
          <t>Site claims 'Available 24/7', 'Free Case Review - 24/7 Talk with Glen!' and 'Give us a call, we're available 24/7 at (702) 331-5722' while the contact block lists office hours 'Monday to Friday, 9AM to 5PM PST'. No answering service, call center or AI receptionist is named on the site, in page source, on BBB or on YouTube. The only named 24/7 channel is the Intaker chat/text widget ('fill out our simple form or our 24/7 chat below'; YouTube bio '24/7 Help: https://www.intaker.com/howardinjurylaw/pi') - chat/SMS, not phone. A client review on the site says 'I had the lawyers personal cell number', suggesting after-hours calls fall to Glen's own cell. GBP hours not opened directly.</t>
        </is>
      </c>
      <c r="BH2" s="8" t="inlineStr">
        <is>
          <t>None - no Calendly/Acuity/Clio Scheduler or any scheduler script in source. Intake is via the Intaker chat ('Check If You Have A Valid Personal Injury Claim'), a reCAPTCHA contact form ('Submit for Your FREE Attorney Case Evaluation', no response-time promise shown), 'Start My Free Case Evaluation' link, phone, and text.</t>
        </is>
      </c>
      <c r="BI2" s="8" t="inlineStr">
        <is>
          <t>Yes - Intaker chat/intake widget on every page (intaker.com/howardinjurylaw/pi; Intaker markets an 'AI intake engine' and 'AI Texting Agent' - whether this firm uses the AI texting tier is unverified) plus a 'Text Us' header link (sms:7023315722) and 'Envianos un Texto' on /es/.</t>
        </is>
      </c>
      <c r="BJ2" s="8" t="inlineStr">
        <is>
          <t>WordPress + Elementor; Storm Media LLC (agency credit, https://www.stormmedia.digital/); CallRail (cdn.callrail.com swap.js); Google Tag Manager / gtag; Meta pixel (id 3636794976532839); Intaker chat/intake (intaker.azureedge.net); Google reCAPTCHA; Google Workspace (MX); Squarespace Domains (registrar, RDAP); YouTube embeds; Avvo attorney profile. Not detected: Smith.ai, Ruby, AnswerConnect, Podium, Birdeye, Clio widgets, Lawmatics, Ngage/ApexChat, Scorpion, FindLaw, Justia, Hibu, Thryv.</t>
        </is>
      </c>
      <c r="BK2" s="8" t="inlineStr">
        <is>
          <t>Likely but unverified as active: CallRail dynamic number swap + Meta pixel on the homepage, robots.txt (created 2025-11-08) allows AdsBot-Google for / and /es/ (the Google Ads landing-page crawler), and the credited agency sells Meta/Google paid ads. Meta Ad Library and Google Ads Transparency Center could not be opened from this session (JS/403), and no Sponsored SERP could be checked (search budget exhausted). No Google LSA badge check possible.</t>
        </is>
      </c>
      <c r="BL2" s="8" t="inlineStr">
        <is>
          <t>not checked - ChatGPT/Perplexity/Gemini spot-check could not be run this session (web search budget exhausted; AI platforms not reachable via fetch). Schema check done: site already carries FAQPage, LegalService (AggregateRating 4.9/122 + Review), Attorney (LocalBusiness-type with 24/7 openingHours), VideoObject, HowTo and BreadcrumbList JSON-LD, and the agency advertises 'GEO + AEO' - run the full 28-answer GEO audit before first touch; expect partial presence rather than 0-of-28.</t>
        </is>
      </c>
      <c r="BM2" s="8" t="inlineStr">
        <is>
          <t>PASS - Not a chain/franchise/PE-owned (single office; NV Bar firm 'Law Offices of Glen A. Howard'; no group language). Working own-domain site (HTTP 200, actively updated). Live US business (NV Bar 'ATTORNEY Active', 'Disciplinary Actions: None'; BBB A+, 0 complaints; site edited 2026-10-12/13). Inbound channels exist (phone, text, chat, form). Not a competitor/non-buyer category. Not automated on both fronts: no AI phone agent credited (Intaker is chat/SMS); AI-answer presence unchecked. Suppression.csv and seen.csv: 0 hits for 'howardinjurylaw' and 'Howard'. Not done from this session: GHL 'E4L Services' dedupe via ghl-contacts.js and Nevada SOS entity status (JS-only portal) - run both before loading.</t>
        </is>
      </c>
      <c r="BN2" s="8" t="inlineStr">
        <is>
          <t>D1 Decision-maker reach: 20/20 - Glen A. Howard, Esq., 'Partner/Owner ... Since 2017' (https://www.howardinjurylaw.com/about-us/) corroborated by NV State Bar #9065 'ATTORNEY Active', firm 'Law Offices of Glen A. Howard', same address/phone (https://nvbar.org/for-the-public/find-a-lawyer/?usearch=Glen%20Howard) and BBB 'Glen A. Howard, Attorney'; personal email ghoward@howardinjurylaw.com published as mailto + JSON-LD on the site, MX present (Google); secondary channel = owner Avvo profile linked from site + firm X/IG/TikTok/YouTube; LinkedIn not found. | D2 Phone-coverage gap: 15/15 - phone-first (header '(702) 331-5722', hero 'Call Us for a Free Consultation', '24/7 Talk with Glen!', 13 tel: links, sms link) + gap proofs: PI law is on the inherent-urgency list; office hours 'Monday to Friday, 9AM to 5PM PST' narrower than the 'Available 24/7' claim; no answering service/call center/AI receptionist named anywhere (only Intaker chat). | D3 Lead-response leak: 0/15 - accessible reviews praise responsiveness ('answered calls and questions within 24 hours', 'very easy to get ahold of', 'always available to answer my questions' - https://www.howardinjurylaw.com/testimonials/); site has 24/7 chat + text + form (no friction signal); careers 404; BBB 0 complaints; checked but blocked: Google lowest-rated reviews, Yelp (403), Avvo (403), Indeed (403). | D4 AI visibility gap: 0/10 NO EVIDENCE - no AI platform could be checked this session; schema already present (FAQPage, LegalService, Attorney, VideoObject, HowTo), so even a 0-of-6 result would cap at 6. | D5 ICP fit / ability to pay: 15/15 - independent single-office owner-named firm; PI law on list; proxies: since 2017 (About, RDAP 2017-05-31, BBB 2017-05-16), 122 reviews at 4.9 with Jan-Feb 2026 reviews, 3 named staff + attorney, PI ticket $5k+ row and '$80M+ Recovered / 1,000+ Clients' claim, statewide + CA/AZ/CO service area. | D6 Buying signals: 11/15 - paid-media signal (a): CallRail dynamic number swap on landing pages + AdsBot-Google allowance in robots.txt; spend group (d): GTM + Meta pixel + CallRail + agency credit (Storm Media); (e): Intaker paid intake tool; no dated trigger within 60 days (only soft content activity 2026-10-12/13); Meta Ad Library/Ads Transparency/LSA not checkable. | D7 Owner attitude / stack: 10/10 - net 3 positives: modern actively-updated site (images 2026-02/03, sitemap 2026-10), tech adoption (text, chat, call tracking, schema), growth posture (owner on camera, awards wall, multi-state claims); no negatives observed; Storm Media is a small general agency (gmail contact), not a bundled vertical incumbent, but it advertises 'SEO + GEO + AEO' - flag GEO overlap. TOTAL 71 = QUALIFIED (TRUSTED: disqualifier pass recorded, 6 of 7 dimensions carry evidence or a logged null, D1 positive, D2 direct quoted hours string, D5 cited). Not eligible for SEND TODAY until the D4 AI spot-check is run.</t>
        </is>
      </c>
      <c r="BO2" s="8" t="inlineStr">
        <is>
          <t>https://www.howardinjurylaw.com/, https://www.howardinjurylaw.com/about-us/, https://www.howardinjurylaw.com/contact-us/, https://nvbar.org/for-the-public/find-a-lawyer/?usearch=Glen%20Howard, https://www.bbb.org/us/nv/las-vegas/profile/personal-injury-lawyer/howard-injury-law-1086-90094513, https://www.howardinjurylaw.com/testimonials/, https://www.howardinjurylaw.com/es/, https://www.howardinjurylaw.com/robots.txt, https://www.howardinjurylaw.com/post-sitemap.xml, https://www.howardinjurylaw.com/page-sitemap.xml, https://www.youtube.com/@HowardInjuryLaw, https://www.intaker.com/howardinjurylaw/pi, https://www.intaker.com/, https://www.stormmedia.digital/, https://www.avvo.com/attorneys/89146-nv-glen-howard-1770669.html, https://rdap.verisign.com/com/v1/domain/howardinjurylaw.com, https://dns.google/resolve?name=howardinjurylaw.com&amp;type=MX, https://maps.app.goo.gl/s24pLXgDGgEK61R8A, https://www.google.com/maps/place/Howard+Injury+Law/@36.1259265,-115.2301308,17z, https://www.howardinjurylaw.com/blog/, https://www.facebook.com/howardinjurylaw, https://www.instagram.com/howard.injury.law/, https://www.tiktok.com/@howard.injury.law, https://x.com/HowardInjuryLV, http://web.archive.org/web/20221223123253/https://www.howardinjurylaw.com/, http://web.archive.org/web/20260516232423/https://www.howardinjurylaw.com/</t>
        </is>
      </c>
      <c r="BP2" s="8" t="inlineStr">
        <is>
          <t>Medium</t>
        </is>
      </c>
      <c r="BQ2" s="8" t="inlineStr">
        <is>
          <t>Title detail: Attorney, Partner/Owner (About page: 'Meet Glen Howard, ESQ.' and experience list 'Howard Injury Law, Partner/Owner, Personal Injury Since 2017'); NV State Bar #9065, 'ATTORNEY Active', member since 10/20/2004, firm 'Law Offices of Glen A. Howard'; BBB lists 'Glen A. Howard, Attorney'. Legal entity note: NV Bar firm name: Law Offices of Glen A. Howard. Band: QUALIFIED (71, TRUSTED) - not SEND TODAY only because the D4 AI spot-check could not be run this session; run the 28-answer GEO audit and build the bilingual voice demo before first touch, then re-band. Route: email-first to ghoward@ (Confirmed personal email, Google Workspace MX) with Sam's call within 48h, Tue-Thu 9-10:30 AM PT. Compliance: legal vertical - no outcomes, no legal advice, no case-volume promises; never quote the 'personal cell' review back to him or name reviewers. Watch-outs: (1) Storm Media (his agency) advertises 'SEO + GEO + AEO' and the site already has FAQ/LegalService/Attorney schema - expect the GEO audit to show partial presence; the phone gap is the cleaner wedge. (2) Intaker sells an 'AI Texting Agent' - confirm on the call whether he uses it before pitching missed-call text-back as new. (3) Demo must handle Spanish at minimum (site also promises Cantonese and Mandarin). (4) Vanessa Kitchen (ex-practice administrator with marketing background) is the likely internal champion. Not verifiable this session (blocked/403/JS): Google review replies and lowest-rated reviews, Yelp, Avvo, Indeed/job posts, Meta Ad Library, Google Ads Transparency, LSA badge, LinkedIn, Nevada SOS, Facebook/Instagram/TikTok recency - refresh D3/D6 if a slot depends on them.</t>
        </is>
      </c>
      <c r="BR2" s="10" t="inlineStr"/>
      <c r="BS2" s="10" t="inlineStr"/>
      <c r="BT2" s="10" t="inlineStr"/>
    </row>
    <row r="3" ht="120" customHeight="1">
      <c r="A3" s="8" t="inlineStr">
        <is>
          <t>20261012-02</t>
        </is>
      </c>
      <c r="B3" s="8" t="inlineStr">
        <is>
          <t>2026-10-12</t>
        </is>
      </c>
      <c r="C3" s="8" t="n">
        <v>1</v>
      </c>
      <c r="D3" s="10" t="inlineStr"/>
      <c r="E3" s="10" t="inlineStr">
        <is>
          <t>New</t>
        </is>
      </c>
      <c r="F3" s="8" t="n">
        <v>69</v>
      </c>
      <c r="G3" s="8">
        <f>IF(F3="","",IF(F3&gt;=80,"A — send today",IF(F3&gt;=60,"B — worth a touch",IF(F3&gt;=40,"C — hold","D — reject"))))</f>
        <v/>
      </c>
      <c r="H3" s="8" t="inlineStr">
        <is>
          <t>Viking Heating &amp; Air Conditioning</t>
        </is>
      </c>
      <c r="I3" s="8" t="inlineStr">
        <is>
          <t>Nicole</t>
        </is>
      </c>
      <c r="J3" s="8" t="inlineStr">
        <is>
          <t>Bridge</t>
        </is>
      </c>
      <c r="K3" s="8" t="inlineStr">
        <is>
          <t>Owner / Member</t>
        </is>
      </c>
      <c r="L3" s="8" t="inlineStr">
        <is>
          <t>info@viking-hvac.com (generic office mailbox; present only in the company's JSON-LD page source on blog.viking-hvac.com and blog.viking-hvac.com/careers, not as visible text; no owner-personal email found on any public page)</t>
        </is>
      </c>
      <c r="M3" s="8" t="inlineStr">
        <is>
          <t>Generic (info@/office@)</t>
        </is>
      </c>
      <c r="N3" s="8" t="inlineStr">
        <is>
          <t>Likely</t>
        </is>
      </c>
      <c r="O3" s="8" t="inlineStr">
        <is>
          <t>Not found</t>
        </is>
      </c>
      <c r="P3" s="8" t="inlineStr">
        <is>
          <t>+1 480-689-5167</t>
        </is>
      </c>
      <c r="Q3" s="8" t="inlineStr">
        <is>
          <t>HVAC</t>
        </is>
      </c>
      <c r="R3" s="8" t="inlineStr">
        <is>
          <t>core</t>
        </is>
      </c>
      <c r="S3" s="8" t="inlineStr">
        <is>
          <t>Chandler</t>
        </is>
      </c>
      <c r="T3" s="8" t="inlineStr">
        <is>
          <t>AZ</t>
        </is>
      </c>
      <c r="U3" s="8" t="inlineStr">
        <is>
          <t>A live dispatcher opening, 10 new Google reviews in Oct 2-9, 2026, and near-daily fall tune-up posts mean call volume is up and they are paying headcount for phones this week; the heating-season emergency window is the wedge.</t>
        </is>
      </c>
      <c r="V3" s="8" t="inlineStr">
        <is>
          <t>Growth-Minded Operator</t>
        </is>
      </c>
      <c r="W3" s="8" t="inlineStr">
        <is>
          <t>Voice AI live demo built from viking-hvac.com (DEMO PATH, call-first to Sam with the demo number; email to info@ only as a gatekeeper-friendly second touch), framed on heating-season tune-up volume and the open dispatcher seat; add missed-call text-back. Do not lead with GEO - FAQ schema and an active blog already exist.</t>
        </is>
      </c>
      <c r="X3" s="8" t="inlineStr">
        <is>
          <t>Recover</t>
        </is>
      </c>
      <c r="Y3" s="8" t="inlineStr">
        <is>
          <t>Viking's dispatcher opening and after-hours calls</t>
        </is>
      </c>
      <c r="Z3" s="8" t="inlineStr">
        <is>
          <t>Saw Viking is hiring a dispatcher to run the daily board while your site promises 24/7 emergency service across 36 cities, so who's catching the no-cool calls once the office clears out?</t>
        </is>
      </c>
      <c r="AA3" s="8" t="inlineStr">
        <is>
          <t>Nikki, you're hiring a dispatcher at $21-25 an hour and telling 36 cities you're there 24/7. We built a receptionist demo from viking-hvac.com you can call right now: it picks up the calls that ring while your dispatcher is on another line or after hours, qualifies the no-cool emergency, and books it so nothing waits for the morning. Go-live is one call-forwarding rule for missed and busy calls, rollback is one dial code, and it can hand bookings to your existing Service Fusion setup.</t>
        </is>
      </c>
      <c r="AB3" s="8" t="inlineStr">
        <is>
          <t>'We run Service Fusion and we're hiring a dispatcher - we're covered.' Answer: keep both; this only takes the calls that would otherwise hit voicemail (busy, after hours, weekends) and hands the booking back to your dispatcher, so nothing changes for the team during the day - call the demo and judge it yourself before anything is bought.</t>
        </is>
      </c>
      <c r="AC3" s="8" t="inlineStr">
        <is>
          <t>Nikki? Sam with Eat 4 Life Marketing out of LA - and this is a cold call, so feel free to hang up on me. I was on Viking's careers page: you're hiring a dispatcher to run the daily board while the site promises 24/7 emergency service across 36 cities. We built a receptionist demo trained on viking-hvac.com that picks up the no-cool calls that ring while your dispatcher is on another line or after the office clears out, and books them. Can I take twenty seconds to tell you how it works, and you decide if it's worth a longer look?</t>
        </is>
      </c>
      <c r="AD3" s="8" t="inlineStr">
        <is>
          <t>Tue-Thu 7:30-8:30 AM AZ (same as LA time until Nov 1): a one-office shop builds the day's dispatch board then, and with the dispatcher seat open the person on the main line is most likely Nikki (Member/Owner, registered agent, office side) rather than a hired gatekeeper. Second window Tue-Thu 4:00-5:30 PM AZ when Kelly (HVAC Tech/Owner) is back from the field. Avoid 9 AM-3 PM, when the line is fielding same-day no-cool calls during fall tune-up season, and avoid Mondays (weekend backlog) and Friday afternoons.</t>
        </is>
      </c>
      <c r="AE3" s="8" t="inlineStr">
        <is>
          <t>No office hours published on viking-hvac.com, the careers page or BBB. Homepage and blog JSON-LD say open 00:00-23:59 Mon-Sun, and the Google Business Profile mirror (serviceagent.ai) shows 'Open 24 hours' every day with a 'Direct line - speak to a representative'; the site markets '24/7 emergency service' with 'emergency technicians always on call'. In practice it is a one-office shop whose dispatcher role is 'full-time, in-person' running a daily board, so treat the office as weekday daytime (roughly 7 AM-5 PM AZ) with the 24/7 line layered on top.</t>
        </is>
      </c>
      <c r="AF3" s="8" t="inlineStr">
        <is>
          <t>AZ (Arizona, MST year-round, no DST; same clock as Los Angeles until Nov 1, 2026, then one hour ahead of LA)</t>
        </is>
      </c>
      <c r="AG3" s="8" t="inlineStr">
        <is>
          <t>Main line 480-689-5167 is the only number anywhere (site header, contact page, careers page, BBB, BuildZoom); CallRail is in the site code but the number matches every third-party record, so it is the real line, not a swapped tracking number. No office manager, receptionist, dispatcher or answering-service name is public, and the HVAC Dispatcher seat is currently open (full-time, in-person), so expect Nikki/Nicole Bridge or whoever is covering the board to pick up; no third-party answering service is mentioned anywhere. Kelly Bridge is 'HVAC Tech./Owner' and in the field - do not expect him midday. Ask for 'Nikki' (their own careers page uses that name; BBB has 'Nicole E. Bridge'). If a tech or fill-in answers: 'Is Nikki in the office this morning? It's about the dispatcher opening on your careers page' - true and specific. Their careers page brags 'Decisions made by people you actually know - Nikki and Kelly - not a call center in another state', so position the demo as backup for after hours and busy lines, never as replacing the dispatcher. No owner cell published; no 'no solicitation' notice seen. Second touch only: info@viking-hvac.com (generic, from their JSON-LD) addressed to Nikki or Kelly. Do not cite the Oct 2025 commercial-expansion press release (now 404); a tech named Logan Bridge appears in a recent review - do not assume a family relation.</t>
        </is>
      </c>
      <c r="AH3" s="8" t="inlineStr">
        <is>
          <t>The live 'HVAC Dispatcher' post ($21-25/hr, 'running the daily dispatch board') paired with the careers line 'Decisions made by people you actually know - Nikki and Kelly - not a call center in another state' (https://blog.viking-hvac.com/careers, seen 2026-10-12): they are hiring for the phone seat and proud that calls stay local, which is exactly the after-hours gap the demo covers without replacing anyone.</t>
        </is>
      </c>
      <c r="AI3" s="8" t="inlineStr">
        <is>
          <t>(1) JOB POST: 'HVAC Dispatcher - $21 - $25/hr - Full-time, in-person - Requires 3+ years of HVAC dispatching experience and running the daily dispatch board' plus 'Senior HVAC Service Technician - Urgently Hiring' (https://blog.viking-hvac.com/careers, seen 2026-10-12; no posting date shown). (2) 24/7 PROMISE, NO STATED COVERAGE: 'we provide 24/7 emergency HVAC services throughout our entire service area' and schema hours 00:00-23:59 daily, with no answering service/AI/call center named and no hours on the site (https://www.viking-hvac.com/). (3) BOOKING FRICTION: no online scheduling, no chat/text; form promise is only 'No obligation. Fast response.' with no stated turnaround (https://www.viking-hvac.com/contact-us/). (4) VOLUME: 10 new Google reviews Oct 2-9, 2026 and 36-city service area = call load at a one-office shop. Null: no reachability complaints found in the 10 reviews visible on-site; Google reply rate, Yelp, BBB complaints (0) showed nothing.</t>
        </is>
      </c>
      <c r="AJ3" s="8" t="inlineStr">
        <is>
          <t>(a) Live HVAC Dispatcher opening and 3 other roles (Senior Service Tech 'Urgently Hiring', Install Tech, Sales Rep) - https://blog.viking-hvac.com/careers, 2026-10-12, undated post. (b) Review spike: 10 Google reviews dated Oct 2-9, 2026 (Trustindex widget). (c) Seasonal: fall tune-up season now - reviews Oct 6, 2026 mention 'fall checkup', LinkedIn posts Oct 1-10, 2026 about fall tune-ups/blower motors. (d) Content push: blog post dated 2026-10-12; 8 LinkedIn posts in 10 days. (e) STALE: Oct 8, 2025 press release 'Viking HVAC expands commercial services in Phoenix Valley' (scout capture; URL returns 404 as of 2026-10-12). No ownership change, no new site (same domain), no negative review spike found.</t>
        </is>
      </c>
      <c r="AK3" s="8" t="inlineStr">
        <is>
          <t>(1) Hiring 4 roles incl. production and a dispatcher; Senior Service Tech tagged 'Urgently Hiring'; 'a family-owned team that's growing across the East Valley' - https://blog.viking-hvac.com/careers (2026-10-12). (2) Review velocity: 10 Google reviews dated Oct 2-9, 2026 in the Trustindex widget; 481 total - https://www.viking-hvac.com/ (2026-10-12). (3) Paid-traffic instrumentation: contact form captures GCLID, UTM, GA client id and CallRail session id; Meta pixel 826526979159085 + GTM in source - https://www.viking-hvac.com/contact-us/ and homepage source (2026-10-12). (4) Content cadence: 8 LinkedIn company posts Oct 1-10, 2026; blog post dated 2026-10-12 - https://www.linkedin.com/company/viking-heating-and-air-conditioning, https://blog.viking-hvac.com/ (2026-10-12). (5) Modern site: copyright 2026, HVACBusiness + FAQPage JSON-LD, financing, Service Fusion portal - homepage source. (6) Commercial expansion PR Oct 8, 2025 (scout capture; URL now 404). Signals span 4 source categories, no contradicting signal -&gt; high confidence. Secondary flavor: family-owned pride ('The Bridge Between You and Comfort').</t>
        </is>
      </c>
      <c r="AL3" s="8" t="inlineStr">
        <is>
          <t>Family-owned HVAC company founded 2016 in Chandler (BBB founded 2016-03-10; site 'since 2016'; homepage JSON-LD founder 'Nikki Bridge'). Kelly Bridge is listed on the ROC-derived BuildZoom record as 'HVAC Tech./Owner' (owner in the field); Nicole Bridge as 'Member/Owner' and is the LLC's registered agent. License qualifying party is Joel Montoya (not an owner). Company slogan 'The Bridge Between You and Comfort' (plays on the surname). 'Over 40 years of combined experience' (LinkedIn/site). Prior career, military service, trade school, podcasts/interviews: Not found (owner-level search not possible this run).</t>
        </is>
      </c>
      <c r="AM3" s="8" t="inlineStr">
        <is>
          <t>Plain-spoken, anti-corporate, family-culture voice. Careers page: 'We're not corporate. We're not chaotic.'; 'We believe in family culture, but high standards. We win together or we don't win at all.'; 'Decisions made by people you actually know - Nikki and Kelly - not a call center in another state.' About page values: 'Be honest, fair, on time, empathetic, helpful, diligent, and excellent'; promises no hassling, no falsified repairs, no upselling; 'free second opinion'; '100% satisfaction guaranteed'. Brags: '350+ 5 Star Reviews' hero, 'Best of business rate 2024/2025' badges (issuer not identified), Mitsubishi Diamond Contractor, 'Serving 29+ cities'. Review replies: not readable this run (Google reply data not rendered). Note: their own pages use both 'Nicole' (formal credit) and 'Nikki' (casual line, schema founder).</t>
        </is>
      </c>
      <c r="AN3" s="8" t="inlineStr">
        <is>
          <t>Owner-operator</t>
        </is>
      </c>
      <c r="AO3" s="8" t="inlineStr">
        <is>
          <t>Not found (search budget exhausted before owner X-ray; company page only: https://www.linkedin.com/company/viking-heating-and-air-conditioning - 17 followers, 11-50 employees)</t>
        </is>
      </c>
      <c r="AP3" s="8" t="inlineStr">
        <is>
          <t>Company accounts only (from site footer/BBB): https://www.facebook.com/vikingheatingandair/ (login-walled), https://www.instagram.com/vikingheatingandair/, https://x.com/Viking_HVAC, https://www.youtube.com/channel/UCV-2oM3WbSJiZhnPEudSVhw. No owner-personal accounts found.</t>
        </is>
      </c>
      <c r="AQ3" s="8" t="inlineStr">
        <is>
          <t>https://www.viking-hvac.com/</t>
        </is>
      </c>
      <c r="AR3" s="8" t="inlineStr">
        <is>
          <t>info@viking-hvac.com (published in the company's own JSON-LD on blog.viking-hvac.com/careers and blog.viking-hvac.com; not shown as visible text on viking-hvac.com; MX not verified - no DNS tool in sandbox)</t>
        </is>
      </c>
      <c r="AS3" s="8" t="inlineStr">
        <is>
          <t>3225 N Arizona Ave Ste C-12</t>
        </is>
      </c>
      <c r="AT3" s="8" t="inlineStr">
        <is>
          <t>85225</t>
        </is>
      </c>
      <c r="AU3" s="8" t="inlineStr">
        <is>
          <t>Chandler HQ; Gilbert, Mesa, Phoenix, Scottsdale, Tempe, Queen Creek, Ahwatukee plus 'Maricopa County and parts of Pinal County'; 36 city pages (site also has Tucson-area pages: Marana, Oro Valley, Sahuarita, South Tucson); BBB: 'Valley Wide'</t>
        </is>
      </c>
      <c r="AV3" s="8" t="inlineStr">
        <is>
          <t>https://www.google.com/maps/search/?api=1&amp;query=Google&amp;query_place_id=ChIJYXSnVIcHK4cRsYunCS6JiyU</t>
        </is>
      </c>
      <c r="AW3" s="8" t="inlineStr">
        <is>
          <t>4.9 (AggregateRating in the site's Trustindex JSON-LD, 2026-10-12; also 4.9 on ServiceAgent directory)</t>
        </is>
      </c>
      <c r="AX3" s="8" t="inlineStr">
        <is>
          <t>485 Google reviews per homepage JSON-LD AggregateRating (ratingCount 485, 2026-10-12); ServiceAgent mirror shows a stale 355</t>
        </is>
      </c>
      <c r="AY3" s="8" t="inlineStr">
        <is>
          <t>2016 (BBB foundingDate March 10, 2016; site 'since 2016'; schema foundingDate 2016) - about 10 years; 'over 40 years of combined experience'</t>
        </is>
      </c>
      <c r="AZ3" s="8" t="inlineStr">
        <is>
          <t>LinkedIn company page: 11-50 employees; four open roles on careers page; technicians named in Oct 2026 reviews: Owen, Scott, Logan Bridge</t>
        </is>
      </c>
      <c r="BA3" s="8" t="inlineStr">
        <is>
          <t>1 (Chandler HQ; 36 city landing pages in location-sitemap.xml)</t>
        </is>
      </c>
      <c r="BB3" s="8" t="inlineStr">
        <is>
          <t>Residential AC repair (24/7 emergency claim), AC/heat pump installation, heating repair, preventative maintenance ('Residential Service Plans' and 'Commercial Maintenance Plans'), ductwork, indoor air quality/air scrubbers, thermostat installation, swamp cooler services, commercial HVAC (retail, restaurant, manufacturing, healthcare, retrofits, ventilation), refrigeration (per BBB description), financing via unnamed partners, Mitsubishi Electric Diamond Contractor</t>
        </is>
      </c>
      <c r="BC3" s="8" t="inlineStr">
        <is>
          <t>modern - Service Fusion customer portal (app.servicefusion.com/vikingair), CallRail call tracking, Meta pixel + GTM/gtag, Trustindex Google review widget, SMS marketing opt-in on form, online financing application, FAQPage/HVACBusiness schema; but no online booking and no chat/text widget</t>
        </is>
      </c>
      <c r="BD3" s="8" t="inlineStr">
        <is>
          <t>agency_managed (unnamed vendor likely) - CallRail + GCLID/UTM capture, Meta pixel, Trustindex, near-daily LinkedIn posts (8 in Oct 1-10, 2026) and automated weather-triggered blog posts on a separate Next.js app at blog.viking-hvac.com (author 'Organization', post dated 2026-10-12); no agency credit in footer; no named marketing staff</t>
        </is>
      </c>
      <c r="BE3" s="8" t="inlineStr">
        <is>
          <t>scaling</t>
        </is>
      </c>
      <c r="BF3" s="8" t="inlineStr">
        <is>
          <t>unknown (Google owner replies not renderable this run; BBB has 0 reviews/0 complaints; Yelp blocked)</t>
        </is>
      </c>
      <c r="BG3" s="8" t="inlineStr">
        <is>
          <t>Unknown who answers after hours. Site claims: 'available 24/7' (repairs), 'we provide 24/7 emergency HVAC services throughout our entire service area' (FAQ), 'same-day service available for urgent situations'; homepage JSON-LD OpeningHoursSpecification Mon-Sun opens 00:00 closes 23:59; ServiceAgent mirror of GBP: 'Open 24 hours' every day (not verified on Google directly). No visible business hours on the site. No answering service, call center, or AI receptionist mentioned anywhere on site or in page source. Careers: 'not a call center in another state'; the dispatcher role is in-person and 'runs the daily dispatch board' (daytime). Gap = 24/7 promise with no stated after-hours answering mechanism.</t>
        </is>
      </c>
      <c r="BH3" s="8" t="inlineStr">
        <is>
          <t>N - 'Schedule Service' buttons link to /contact-us/ form ('Get My Free Quote'); no booking vendor scripts in source; only a Service Fusion customer 'Login' portal for existing customers</t>
        </is>
      </c>
      <c r="BI3" s="8" t="inlineStr">
        <is>
          <t>None - no chat widget or text-us button in page source (no tidio/intercom/podium/birdeye/drift/tawk); the form has an SMS marketing opt-in checkbox only</t>
        </is>
      </c>
      <c r="BJ3" s="8" t="inlineStr">
        <is>
          <t>WordPress (wp-content; Themeco-style 'x-anchor' classes; perfmatters plugin; HestiaCP hosting per robots.txt); Trustindex Google review widget; CallRail (calltrk/callrail session cookie capture in form); Google Tag Manager + gtag; Meta pixel (id 826526979159085); Service Fusion field-service/customer portal; blog.viking-hvac.com on Next.js with Wix-hosted images (wixstatic) - separate content platform; financing partner unnamed; Mitsubishi Diamond Contractor badge; no agency credit in footer; no booking or chat vendor</t>
        </is>
      </c>
      <c r="BK3" s="8" t="inlineStr">
        <is>
          <t>Not confirmed. Google Ads Transparency Center page showed no data (JS-rendered); Meta Ad Library returned 403; no Sponsored unit or LSA/Google Guaranteed badge observed (SERP check not possible this run). Indirect: contact form captures GCLID/UTM/CallRail session ids and a Meta pixel fires, i.e. the site is instrumented for paid traffic.</t>
        </is>
      </c>
      <c r="BL3" s="8" t="inlineStr">
        <is>
          <t>Not checked - the run's WebSearch budget was exhausted before the D4 spot-check, so no ChatGPT/Perplexity/Gemini answer was observed (D4 scored 0, NO EVIDENCE). Note for a later audit: homepage already carries FAQPage (7 Q&amp;As) and HVACBusiness JSON-LD, so D4 would cap at 6 even if named in 0 answers; lead with the voice demo, not GEO.</t>
        </is>
      </c>
      <c r="BM3" s="8" t="inlineStr">
        <is>
          <t>PASS (2026-10-12). Legal entity: VIKING HEATING AND AIR CONDITIONING, LLC, Arizona domestic LLC L20751017, status Active, registered agent Nicole Bridge at 3225 N Arizona Ave Ste C-12 Chandler (OpenCorporates mirror of AZCC). License: ROC 316534 Specialty Dual, active per BuildZoom (ROC portal did not render without JS); older ROC 219012 Specialty Residential inactive. BBB A+ (not accredited), 0 complaints in 3 years. Not a chain/franchise/roll-up: one HQ, family-owned LLC, no parent entity, no franchise language. Website live (HTTP 200, copyright 2026). Inbound channels: phone in header + contact form. No competing AI receptionist vendor found in page source. Suppression list: no match on 'viking' or domain. NOT DONE: GHL 'E4L Services' dedupe via ghl-contacts.js (run before loading).</t>
        </is>
      </c>
      <c r="BN3" s="8" t="inlineStr">
        <is>
          <t>D1 Decision-maker: 8/20 - Owners Nicole (Nikki) &amp; Kelly Bridge cited on careers page, BBB principals, ROC-derived BuildZoom record, LLC registered agent; only a generic info@ mailbox (in company JSON-LD) and a staffed main line; no owner email/LinkedIn/direct line -&gt; DEMO PATH, call-first. | D2 Phone/after-hours gap: 15/15 - phone-first ('Call Now: 480-689-5167' header, no booking widget); inherently urgent niche; '24/7 emergency HVAC services' + schema hours 00:00-23:59 daily; no answering service/AI/call center mentioned anywhere (site + source). | D3 Leak evidence: 10/15 - 2 signal types: (2) live dispatcher job post on careers page; (5) no online scheduling + no chat/text + no response-time promise (verified in source). Google reply rate/Yelp not reachable; no complaint quotes found. | D4 AI search gap: 0/10 - NO EVIDENCE (no platform checked; search budget exhausted). FAQPage + HVACBusiness schema present on homepage. | D5 ICP/ability to pay: 15/15 - independent LLC, 1 location, named owners; HVAC core niche; proxies: since 2016 (BBB), 481 reviews with 10 in last 10 days, LinkedIn 11-50 employees, HVAC install ticket + financing offered, 36-city area + 24/7 claim. | D6 Buying signals: 11/15 - paid-media instrumentation (GCLID/UTM/CallRail capture, Meta pixel, GTM) plus live but undated dispatcher post and fall-season push; Sponsored/LSA/Ad Library could not be verified; 2025 PR is &gt;180 days and now 404. | D7 Attitude/stack: 10/15 scale is 10 -&gt; 10/10 - net 4 positives (modern site 2026 + schema; tech adoption: Service Fusion, CallRail, financing, review widget; recent company posts Oct 2026; growth posture: hiring, 'growing across the East Valley', awards/Diamond Contractor); no hostile signals; no named bundled agency or in-house marketer (unnamed content vendor likely). | TOTAL 69/100 = QUALIFIED band; status TRUSTED (6 of 7 dimensions evidenced, D1 positive, D3 direct job-post URL, D5 evidenced; GHL dedupe still required). Not SEND TODAY because the D4 spot-check was not run.</t>
        </is>
      </c>
      <c r="BO3" s="8" t="inlineStr">
        <is>
          <t>https://blog.viking-hvac.com/careers, https://www.viking-hvac.com/, https://www.buildzoom.com/contractor/viking-heating-air-conditioning-az, https://www.bbb.org/us/az/chandler/profile/heating-and-air-conditioning/viking-heating-and-air-conditioning-llc-1126-1000075245, https://opencorporates.com/companies/us_az/L20751017, https://www.viking-hvac.com/contact-us/, https://www.viking-hvac.com/about-us/, https://www.linkedin.com/company/viking-heating-and-air-conditioning, https://serviceagent.ai/directory/arizona/chandler/hvac/viking-heating-and-air-conditioning/, https://blog.viking-hvac.com/, https://blog.viking-hvac.com/blog/41-mph-winds-hit-chandler-more-monsoon-storms-coming-this-week, https://www.google.com/maps/search/?api=1&amp;query=Google&amp;query_place_id=ChIJYXSnVIcHK4cRsYunCS6JiyU, https://viking-hvac.com/location-sitemap.xml, https://www.viking-hvac.com/robots.txt, https://adstransparency.google.com/?region=US&amp;domain=viking-hvac.com (no data rendered), https://markets.financialcontent.com/thriventfinancial/article/binary-2025-10-8-viking-hvac-expands-commercial-services-in-phoenix-valley (scout capture 2025-10-08; 404 on 2026-10-12)</t>
        </is>
      </c>
      <c r="BP3" s="8" t="inlineStr">
        <is>
          <t>Medium</t>
        </is>
      </c>
      <c r="BQ3" s="8" t="inlineStr">
        <is>
          <t>Title detail: Owner / Member (founder per site schema 'Nikki Bridge'; registered agent of the LLC; BBB principal 'Nicole E. Bridge, Owner'). Co-owner: Kelly Bridge, 'HVAC Tech./Owner' (ROC record via BuildZoom; BBB 'Owner'). Legal entity note: legal: Viking Heating and Air Conditioning, LLC. Second decision-maker: Kelly Bridge, 'HVAC Tech./Owner' (likely in the field) - Nicole/Nikki is the registered agent and schema founder, so she is the better first ask; license qualifying party is Joel Montoya (not an owner). Email is generic info@ only - route to Sam first; if emailing, write for a gatekeeper and ask for Nikki or Kelly. Best call window (AZ, no DST, MST): trades 7:00-8:30am or 4:00-5:30pm. Phone 480-689-5167 is consistent across site, BBB and BuildZoom (CallRail present, but this appears to be the main line, not a swapped tracking number). Marketing stack signals an unnamed vendor (CallRail, Meta pixel, automated weather-triggered blog at blog.viking-hvac.com, 8 LinkedIn posts in 10 days) - ask 'who runs your blog and ads?' before pitching GEO; FAQPage schema already on the homepage. Watch-outs: review reply tone unknown (could not render Google replies); 'Best of business rate 2024/2025' badge issuer not identified; the Oct 2025 commercial-expansion PR now 404s (do not cite it as current); a technician named Logan Bridge appears in an Oct 2, 2026 review - do not assume any relation. Before loading to GHL: run ghl-contacts.js dedupe (domain viking-hvac.com / 480-689-5167 / name+Chandler); run the D4 AI spot-check (3 money questions x 2 platforms) to see if this can move to SEND TODAY. Compliance: no cell numbers found; main line is a business line; no 'no solicitation' notice seen.</t>
        </is>
      </c>
      <c r="BR3" s="10" t="inlineStr"/>
      <c r="BS3" s="10" t="inlineStr"/>
      <c r="BT3" s="10" t="inlineStr"/>
    </row>
    <row r="4" ht="120" customHeight="1">
      <c r="A4" s="8" t="inlineStr">
        <is>
          <t>20261012-03</t>
        </is>
      </c>
      <c r="B4" s="8" t="inlineStr">
        <is>
          <t>2026-10-12</t>
        </is>
      </c>
      <c r="C4" s="8" t="n">
        <v>1</v>
      </c>
      <c r="D4" s="10" t="inlineStr"/>
      <c r="E4" s="10" t="inlineStr">
        <is>
          <t>New</t>
        </is>
      </c>
      <c r="F4" s="8" t="n">
        <v>69</v>
      </c>
      <c r="G4" s="8">
        <f>IF(F4="","",IF(F4&gt;=80,"A — send today",IF(F4&gt;=60,"B — worth a touch",IF(F4&gt;=40,"C — hold","D — reject"))))</f>
        <v/>
      </c>
      <c r="H4" s="8" t="inlineStr">
        <is>
          <t>Bob Heinmiller Air Conditioning, Inc.</t>
        </is>
      </c>
      <c r="I4" s="8" t="inlineStr">
        <is>
          <t>Mark</t>
        </is>
      </c>
      <c r="J4" s="8" t="inlineStr">
        <is>
          <t>Derringer</t>
        </is>
      </c>
      <c r="K4" s="8" t="inlineStr">
        <is>
          <t>Owner/President</t>
        </is>
      </c>
      <c r="L4" s="8" t="inlineStr">
        <is>
          <t>Not found</t>
        </is>
      </c>
      <c r="M4" s="8" t="inlineStr">
        <is>
          <t>None found</t>
        </is>
      </c>
      <c r="N4" s="8" t="inlineStr">
        <is>
          <t>Not found</t>
        </is>
      </c>
      <c r="O4" s="8" t="inlineStr">
        <is>
          <t>Not found (no owner cell or direct line on site, BBB, Carrier, or reviews; only the main line, fax, and the alternate 407-422-7657 office number)</t>
        </is>
      </c>
      <c r="P4" s="8" t="inlineStr">
        <is>
          <t>+1 407-374-0779 (site header 'Hotline', footer, BBB, DispatchCore). Also published: fax +1 407-422-0790; alternate +1 407-422-7657 (contact-page meta description 'Call Us Today' and Experience.com contact number); Carrier dealer page lists +1 321-319-3980 (different number on Carrier's locator - do not assume it reaches the office)</t>
        </is>
      </c>
      <c r="Q4" s="8" t="inlineStr">
        <is>
          <t>HVAC (also electrical, generators, solar via sister entity Bob Heinmiller Solar Solutions, LLC)</t>
        </is>
      </c>
      <c r="R4" s="8" t="inlineStr">
        <is>
          <t>core</t>
        </is>
      </c>
      <c r="S4" s="8" t="inlineStr">
        <is>
          <t>Orlando</t>
        </is>
      </c>
      <c r="T4" s="8" t="inlineStr">
        <is>
          <t>FL</t>
        </is>
      </c>
      <c r="U4" s="8" t="inlineStr">
        <is>
          <t>Growth posture is public right now: a 2026 Top Solar Contractor award posted July 24, 2026, plus open installer and comfort-advisor roles - more jobs and more calls hitting the same office line. An Aug 11, 2026 public review already shows daytime calls being pushed to callbacks. Florida's cooling season runs through October, and the Google listing appears unclaimed on two directories with no FAQ/LocalBusiness schema on the site, so they are invisible in the AI answers checked while franchise competitors (Aire Serv, One Hour) are named. The site itself was refreshed in April 2026, so they are investing in presence this year.</t>
        </is>
      </c>
      <c r="V4" s="8" t="inlineStr">
        <is>
          <t>Family-Legacy Pride Brand (primary); Growth-Minded Operator (secondary). Confidence: high (5+ signals across site, press, BBB, job boards).</t>
        </is>
      </c>
      <c r="W4" s="8" t="inlineStr">
        <is>
          <t>Voice AI live demo built from bobheinmiller.com (after-hours and overflow coverage on the hotline, booking into their process), framed as protecting a three-generation name - never as replacing office staff. Secondary ask: the free AI-visibility audit ('named in 0 of 3 so far; full 28-answer run on request'). Route: call-first (Sam) with the demo number; service@ email as backup with gatekeeper-friendly copy. demo_build = yes (D2 &gt;= 9, site scrapable); run_geo_audit = yes (D4 = 6).</t>
        </is>
      </c>
      <c r="X4" s="8" t="inlineStr">
        <is>
          <t>Recover</t>
        </is>
      </c>
      <c r="Y4" s="8" t="inlineStr">
        <is>
          <t>who picks up at Bob Heinmiller after 5?</t>
        </is>
      </c>
      <c r="Z4" s="8" t="inlineStr">
        <is>
          <t>Congrats on the 2026 Top Solar Contractor list - three generations in Orlando and still growing. Curious who picks up your line after 5.</t>
        </is>
      </c>
      <c r="AA4" s="8" t="inlineStr">
        <is>
          <t>Family-legacy protection + after-hours/overflow relief. Reference the 1945 roots and the July 2026 award, then the neutral observation that the homepage promises same-day/24-7 but the '24/7 Call Service Support' button lands on a web form and a recent public review describes a morning call deferred to an afternoon callback (summarize as a pattern; never quote the reviewer). Offer: a demo line trained on Bob Heinmiller's own site that answers what already rings out, qualifies the caller (name, number, address, no-cool vs. maintenance, urgency) and books the visit; go-live is one conditional call-forwarding rule, rollback is one dial code; nothing to pay before they hear it. Close with ask #1 (20-minute Game Plan Call with Sebastian) or ask #2 (an email address for the free AI-search audit - note they are not named for Orlando money questions in the checks run so far while AC's Heating &amp; Air, Belle Air, and Aire Serv are).</t>
        </is>
      </c>
      <c r="AB4" s="8" t="inlineStr">
        <is>
          <t>'We already offer 24/7 service and our office handles the phones' / 'We've been here 36 years, referrals are our marketing' (Mark's own words: 'There is no better accolade or recognition than a business referral'). Answer: it only takes the calls that already ring out or get a 'we'll call you back' - referral callers still have to get through; the receptionist is trained on their story so callers still reach 'Bob Heinmiller'; office staff keep every call they answer; conditional forwarding only, no change to the number. Secondary objection: vendor fatigue / 'we have a marketing company' (Orange Rock Media builds the site; E4L is not a web or SEO replacement).</t>
        </is>
      </c>
      <c r="AC4" s="8" t="inlineStr">
        <is>
          <t>"Hi, this is Sam with Eat 4 Life Marketing - this is a cold call, so feel free to hang up on me. I'm trying to reach Mark Derringer. The reason I'm calling: your homepage promises same-day, 24/7 service, but the '24/7 Call Service Support' button actually sends people to a web form, and one of your August reviews describes a morning caller being pushed to an afternoon callback. We build an AI receptionist trained on Bob Heinmiller's own site that picks up every call that rings out after hours or when the office is slammed, qualifies the caller, and books the visit - and you can call a demo line we build from your website before you pay anything. Can I take 20 seconds to tell you how it would work for a three-generation shop like yours, and you tell me if it's worth a longer conversation?"</t>
        </is>
      </c>
      <c r="AD4" s="8" t="inlineStr">
        <is>
          <t>Tue-Thu 8:00-8:30 AM ET (Florida telemarketing floor is 8 AM; call before trucks roll and before the office queue builds - an Aug 11, 2026 public review says a morning caller was told 'she'd have to call me back this afternoon'). Fallback 4:00-5:00 PM ET when installs wrap. Ask for Mark Derringer (Owner/President) by name; if out, ask for Linda Heinmiller (Owner/Corp. Secretary). A 2023 review says the owner did not return four calls, so expect to book a time rather than get him live.</t>
        </is>
      </c>
      <c r="AE4" s="8" t="inlineStr">
        <is>
          <t>Site publishes NO hours anywhere; only 'Same day and 24/7 emergency service available' and 'You can receive same-day care from a qualified expert 24 hours a day throughout the week' (https://www.bobheinmiller.com/). Google data mirrored by DispatchCore and YellowPages: 'Open 24 hours' Monday-Sunday (listing unclaimed). Sister entity Bob Heinmiller Solar Solutions (1519 W Smith St, same owners) lists Mon-Fri 8:00 AM-5:00 PM, closed Sat-Sun (Birdeye, TrustAnalytica). serviceagent.ai (Google data): 'After-hours and emergency response isn't signaled on the public profile.'</t>
        </is>
      </c>
      <c r="AF4" s="8" t="inlineStr">
        <is>
          <t>America/New_York (Eastern)</t>
        </is>
      </c>
      <c r="AG4" s="8" t="inlineStr">
        <is>
          <t>Main line +1 407-374-0779 is answered by office staff, not the owner: Aug 11, 2026 review - 'I call for ac service this morning and the young lady said she'd have to call me back this afternoon' (https://www.solarreviews.com/installers/bob-heinmiller-solar-solutions,-llc.-reviews); a Jan 19, 2023 review on the solar entity names an office staffer 'Ashley' promising a callback 'within the hour' (STALE, role not stated). No office manager or dispatcher named on the site or in reviews; 'Meet Our Staff' lists only Bob Heinmiller (Founder), Linda Heinmiller (Owner/Corp. Secretary), Mark Derringer (Owner/President). Field names in reviews: techs Tyler, Chris; comfort advisor/sales Patrick Liner; installers Michael, Anthony. No answering service, call center, or AI receptionist vendor in page source. No owner cell published. Employment page lists 'Administrative' as an application category (no confirmed opening). Get through by asking for 'Mark Derringer' or 'Linda' by name and offering to book a 20-minute slot rather than pitching the person who answers.</t>
        </is>
      </c>
      <c r="AH4" s="8" t="inlineStr">
        <is>
          <t>The July 24, 2026 blog post 'Bob Heinmiller Solar Solutions named a 2026 Top Solar Contractor' (https://www.bobheinmiller.com/blog/) - a dated win within 90 days, safe to congratulate, and it pairs with the three-generation story. Then pivot to the neutral phone-process observation (site promises 24/7; the '24/7 Call Service Support' button goes to a web form).</t>
        </is>
      </c>
      <c r="AI4" s="8" t="inlineStr">
        <is>
          <t>(1) Aug 11, 2026 review (Pearl Ings, SolarReviews page for the sister entity, but about AC service): 'I call for ac service this morning and the young lady said she'd have to call me back this afternoon.' - https://www.solarreviews.com/installers/bob-heinmiller-solar-solutions,-llc.-reviews (2) Jan 19, 2023 review (Pam Kilgore, same page; also on TrustAnalytica): 'I have placed 4 calls to Mark, the owner, who will not call me back.' - older than 18 months, context is a $225 generator service-charge dispute; reviewer says staff promised callbacks 'within the hour' and 'that day' that did not happen. (3) 24/7 claim with no published hours and the '24/7 Call Service Support' CTA routing to a web form (https://www.bobheinmiller.com/). (4) No online booking, chat, or text widget (page source). (5) No owner replies on any review mirror; Google listing shown as 'unclaimed' on two directories. (6) BBB: 2 complaints in 3 years, one 2026 complaint unresolved. Strongest signal for the opener: item (1).</t>
        </is>
      </c>
      <c r="AJ4" s="8" t="inlineStr">
        <is>
          <t>Award/press: 'Bob Heinmiller Solar Solutions named a 2026 Top Solar Contractor' blog post dated July 24, 2026 (81 days old) - https://www.bobheinmiller.com/blog/ ; Solar Power World 2026 list #330 - https://www.solarpowerworldonline.com/suppliers/bob-heinmiller-solar/. Hiring: Home Comfort Advisor (sales) on CareerBuilder 'POSTED 30+ days ago', undated - https://www.careerbuilder.com/job-details/home-comfort-advisor-orlando-fl--a83cea90-709a-4504-bc87-28a433854c52 ; Entry Level HVAC Installer in Talent.com feeds (undated). Site refresh: contact page dateModified 2026-04-09; homepage © 2026. Seasonal: no Orlando-specific heat or storm event found in the last 60 days (searched); Florida AC season runs through October (typical highs ~84F). No front-office (CSR/dispatcher/receptionist) job post found.</t>
        </is>
      </c>
      <c r="AK4" s="8" t="inlineStr">
        <is>
          <t>Family-Legacy: 'For over 60 years my family has been helping families just like yours'; 'three generations later'; 'We are family owned and operated' (https://www.bobheinmiller.com/about-us/); homepage image alt 'Bob Heinmiller Derringer Family Owned and Operated'; surname in the business name; BBB Accredited since 8/15/1991 (https://www.bbb.org/us/fl/orlando/profile/air-conditioning-contractor/bob-heinmiller-air-conditioning-inc-0733-101349); Mark: 'There is no better accolade or recognition than a business referral' (2019 release). Growth-Minded: OBJ Fast 50 (2019), Top Solar Contractor 2025 and 2026 (blog), hiring Entry Level HVAC Installer (Talent.com feed) and Home Comfort Advisor (CareerBuilder, 30+ days), 0% / 24-month financing offer, GTM + Meta pixel on site, agency-built site (Orange Rock Media, © 2026). Caution signal toward Overwhelmed/Absentee: no owner replies on any review mirror and a Jan 2023 review 'I have placed 4 calls to Mark, the owner, who will not call me back' (solar entity, older than 18 months, half weight).</t>
        </is>
      </c>
      <c r="AL4" s="8" t="inlineStr">
        <is>
          <t>Third-generation family HVAC business: 'My grandfather, Ben Heinmiller started his air conditioning business in Orlando in 1945. My father, following in his footsteps, opened Bob Heinmiller Air Conditioning in 1990' - Linda Heinmiller-Derringer, https://www.bobheinmiller.com/about-us/. Mark Derringer is Owner/President; the company's 2019 release quotes him on growth and referrals and on the company's free energy checkup. Company awards: Orlando Business Journal '50 fastest growing companies in Central Florida' (2016-2018 growth, release dated June 21, 2019), Carrier 2018 President's Award, Solar Power World Top Solar Contractor 2025 and 2026 (#330 overall, 1,275 kW installed in 2025). BBB A+ accredited since 1991. Blog carries a tribute to an 11-year employee (Kenny Haslacker), signaling long-tenure culture. No podcast, interview, military, or trade-school facts published.</t>
        </is>
      </c>
      <c r="AM4" s="8" t="inlineStr">
        <is>
          <t>Tone: warm_personal, family-legacy, professional. Verbatim: Mark Derringer - 'There is no better accolade or recognition than a business referral' and 'we empathize with families who work hard for their money and become understandably frustrated with their costly power bills' (https://www.bobheinmiller.com/about-us/one-of-50-fastest-growing-companies-in-central-florida/). Linda Heinmiller-Derringer - 'For decades, our family has set a standard of being the most knowledgeable in our industry' (same page); 'Heating, cooling, and electrical solutions, from our family to yours' and 'if you need service today, we're just a phone call away' (https://www.bobheinmiller.com/about-us/). Bragging points: three generations since 1945, Carrier Factory Authorized + President's Award, NATE-certified background-checked uniformed techs, 100% satisfaction guarantee, flat-rate pricing, A+ BBB since 1991. Community: a 'Scholarship' page is linked in the footer. Review-reply behavior: none observed on any mirror.</t>
        </is>
      </c>
      <c r="AN4" s="8" t="inlineStr">
        <is>
          <t>Owner-operator</t>
        </is>
      </c>
      <c r="AO4" s="8" t="inlineStr">
        <is>
          <t>Not found (Google X-ray for Mark Derringer and Linda Heinmiller-Derringer returned no linkedin.com/in profile; only a RocketReach aggregator stub exists, which is not a usable source). Company page: https://www.linkedin.com/company/bob-heinmiller-air-conditioning-inc/</t>
        </is>
      </c>
      <c r="AP4" s="8" t="inlineStr">
        <is>
          <t>No personal owner accounts found. Company accounts linked from the site: Facebook https://www.facebook.com/bobheinmiller/ (login-walled, not readable), Instagram https://www.instagram.com/bobheinmillerac/ (not readable), X https://x.com/BobHeinmiller, YouTube https://www.youtube.com/@BobHeinmillerAir (2 videos), LinkedIn company page (88 followers). Social recency could not be observed.</t>
        </is>
      </c>
      <c r="AQ4" s="8" t="inlineStr">
        <is>
          <t>https://www.bobheinmiller.com</t>
        </is>
      </c>
      <c r="AR4" s="8" t="inlineStr">
        <is>
          <t>service@bobheinmiller.com (site footer, Contact Us and About pages - https://www.bobheinmiller.com/contact-us/). Searches for '@bobheinmiller.com' off-site returned no personal addresses. MX lookup not available in this environment.</t>
        </is>
      </c>
      <c r="AS4" s="8" t="inlineStr">
        <is>
          <t>1537 W. Smith Street, Orlando, FL 32804 (site footer; contact-page body has a typo '137 W.Smith St.'; BBB and Carrier dealer page agree on 1537)</t>
        </is>
      </c>
      <c r="AT4" s="8" t="inlineStr">
        <is>
          <t>32804</t>
        </is>
      </c>
      <c r="AU4" s="8" t="inlineStr">
        <is>
          <t>Orlando plus 24 other named communities on the homepage: College Park, Central Florida, Winter Park, Maitland, Casselberry, Apopka, Altamonte Springs, Longwood, Oviedo, Winter Springs, East Orlando, Windermere, Dr. Phillips, Winter Garden, Sanford, Lake Mary, Heathrow, Pine Castle, Conway, Union Park, Kissimmee, St. Cloud, Hunters Creek, Mount Dora (https://www.bobheinmiller.com/)</t>
        </is>
      </c>
      <c r="AV4" s="8" t="inlineStr">
        <is>
          <t>Not found (Google Business Profile could not be opened from this environment; Google data mirrored at https://www.dispatchcore.io/directory/hvac/orlando-fl/bob-heinmiller-air-conditioning-inc and https://serviceagent.ai/directory/florida/orlando/32804/hvac/ - both mark the listing 'unclaimed')</t>
        </is>
      </c>
      <c r="AW4" s="8" t="inlineStr">
        <is>
          <t>4.7 per DispatchCore (450 reviews) and serviceagent.ai (463 Google reviews); ~4.5 per Carrier dealer page (592 Google reviews); 4.52 per Experience.com (323). Counts differ by capture date.</t>
        </is>
      </c>
      <c r="AX4" s="8" t="inlineStr">
        <is>
          <t>450-592 Google (DispatchCore 450; serviceagent.ai 463; Carrier dealer page 592); Yelp page title shows 32 reviews (page blocked, 403); BBB 3 reviews / 2 complaints in 3 years</t>
        </is>
      </c>
      <c r="AY4" s="8" t="inlineStr">
        <is>
          <t>1990 (site About: 'My father... opened Bob Heinmiller Air Conditioning in 1990'; BBB foundingDate 1990-04-01; BBB Accredited since 8/15/1991; Experience.com 'Year Started: 1990'). Family roots: 'My grandfather, Ben Heinmiller started his air conditioning business in Orlando in 1945.' Solar line 'over 15 years' per July 2026 blog post. Licenses: CAC057411 (A/C), CVC56861 (solar), EC0001898 (electrical) per site footer.</t>
        </is>
      </c>
      <c r="AZ4" s="8" t="inlineStr">
        <is>
          <t>LinkedIn company page: '11-50 employees' (12 listed on LinkedIn, 88 followers) - https://www.linkedin.com/company/bob-heinmiller-air-conditioning-inc/; Solar Power World supplier listing: 42 employees - https://www.solarpowerworldonline.com/suppliers/bob-heinmiller-solar/; at least 5 field staff named in 2025 reviews (Tyler, Chris, Patrick, Michael, Anthony)</t>
        </is>
      </c>
      <c r="BA4" s="8" t="inlineStr">
        <is>
          <t>1 (1537 W Smith St). Sister entity Bob Heinmiller Solar Solutions, LLC at 1519 W Smith St on the same block (Yelp/EnergySage/Birdeye) - same family, not a second HVAC location.</t>
        </is>
      </c>
      <c r="BB4" s="8" t="inlineStr">
        <is>
          <t>Residential and commercial AC repair and installation (Carrier Factory Authorized Dealer; Carrier President's Award winner per Carrier dealer page - year not stated on source), electrical contracting and electrical preventative maintenance, Generac standby generators, EcoFlow home solutions, indoor air quality, solar power (via Bob Heinmiller Solar Solutions), trenchless drilling, warranty program, 0% interest / no payments for 24 months financing via third-party lender (site menu + financing page)</t>
        </is>
      </c>
      <c r="BC4" s="8" t="inlineStr">
        <is>
          <t>basic (AC site: SSL, WordPress/Astra, Fluent Forms contact form, GTM + Meta pixel, financing; no booking, chat, or text widget) with one modern element on the solar sister entity (Birdeye review page, 116 reviews - https://reviews.birdeye.com/bob-heinmiller-solar-solutions-orlando-solar-contractor-156234086765216)</t>
        </is>
      </c>
      <c r="BD4" s="8" t="inlineStr">
        <is>
          <t>agency_managed (footer 'Design and Marketing by Orange Rock Media'; GTM + Meta pixel id 228471372387891; PRWeb/PRNewswire-style award releases on the blog; WP Rocket, Yoast-style Organization schema). No bundled vertical agency (Scorpion/Hibu/Thryv) and no in-house marketer found.</t>
        </is>
      </c>
      <c r="BE4" s="8" t="inlineStr">
        <is>
          <t>established (36 years, 450-592 Google reviews, 11-50 employees, hiring field and sales roles, 2026 award)</t>
        </is>
      </c>
      <c r="BF4" s="8" t="inlineStr">
        <is>
          <t>none observed - zero owner replies on Experience.com (323 Google-mirrored reviews), Birdeye (solar), TrustAnalytica, and SolarReviews; Google Business Profile itself could not be opened, so GBP reply rate is unverified. The one 2026 BBB complaint drew a company response that 'denies responsibility' and cites an 'existing condition' (dispute unresolved) - a denial, not hostile.</t>
        </is>
      </c>
      <c r="BG4" s="8" t="inlineStr">
        <is>
          <t>claims_24_7, coverage unverified. Site: 'Same day and 24/7 emergency service available' and '24/7 Call Service Support' (button links to /contact-us/ web form, not a phone line). Google data via unclaimed mirrors: 'Open 24 hours' Mon-Sun. No answering-service, call-center, or AI-receptionist vendor in page source. Sister solar entity lists Mon-Fri 8-5 only. Aug 11, 2026 review shows daytime calls being deferred to callbacks. Sam should record who answers on the first dial.</t>
        </is>
      </c>
      <c r="BH4" s="8" t="inlineStr">
        <is>
          <t>None. 'Get a Quote' / 'Immediate Service Request' / '24/7 Call Service Support' all route to the Contact Us form (Fluent Forms; fields Name/Email/Phone/Type of Service; no response-time promise). Page-source scan found no calendly, acuity, housecallpro, servicetitan, jobber, or scheduler scripts; the words 'schedule' on the page are plain copy.</t>
        </is>
      </c>
      <c r="BI4" s="8" t="inlineStr">
        <is>
          <t>None. No podium, birdeye, tidio, intercom, drift, tawk, livechat, textline, or weave scripts in the homepage source; no 'text us' link.</t>
        </is>
      </c>
      <c r="BJ4" s="8" t="inlineStr">
        <is>
          <t>WordPress (Astra theme, WP Rocket 3.23.5.1, Beaver Builder/UABB modules, Fluent Forms), Google Tag Manager + gtag, Meta Pixel (fbq id 228471372387891), Organization/WebSite/WebPage/BreadcrumbList JSON-LD (no LocalBusiness or FAQPage), agency credit Orange Rock Media; Birdeye on the solar sister entity; third-party consumer financing (lender not named); Carrier dealer locator; BBB seal. No call tracking (callrail/CTM) detected; robots.txt has no AI-crawler blocks.</t>
        </is>
      </c>
      <c r="BK4" s="8" t="inlineStr">
        <is>
          <t>Not verified. Google Ads Transparency Center and Meta Ad Library could not be loaded from this environment (Meta returned 403; Google not checkable); no Google Guaranteed / LSA badge seen by the scout; the site carries GTM and a Meta pixel, so paid-social measurement is in place. Log as null for groups (a), (b), (c).</t>
        </is>
      </c>
      <c r="BL4" s="8" t="inlineStr">
        <is>
          <t>Named in 0 of 3 AI answers (platform: Claude web-search answer only; ChatGPT, Perplexity, and Gemini could not be reached from this environment - Perplexity returned 403). Questions: 'emergency AC repair near Orlando FL', 'most reliable HVAC company in Orlando FL', 'HVAC company that answers the phone Orlando FL'. Competitors named: AC's Heating &amp; Air, Aire Serv, Smart Home Air &amp; Heat, Quick Air USA, Downtown Air and Heat, Belle Air, ServiceOne, Clear Comfort, Gary Munson, Certified Climate Control, One Hour Heating &amp; Air, Pure Air and Heating, Mechanical One. Site has no FAQPage or LocalBusiness schema. A full 28-answer E4L audit is still required before quoting a count to the prospect.</t>
        </is>
      </c>
      <c r="BM4" s="8" t="inlineStr">
        <is>
          <t>PASS. Chain/franchise/PE: no - independent family corporation ('Family Owned and Operated', three generations), 1 location, no parent entity found. Website: working own-domain WordPress site (HTTP 200, SSL, © 2026, modified 2026-04-09). Live U.S. business: Orlando FL, BBB A+ accredited since 1991, hiring, July 2026 award, 2025-2026 reviews. Inbound channel: hotline + contact form. Not a competitor/non-buyer. Not already automated: no AI receptionist, answering service, or GEO vendor in page source; named in 0 of 3 AI answers. Not in E4L's world: grep of suppression.csv and seen.csv for 'heinmiller' / 'bobheinmiller' = 0 hits; not in geo/clients.json, geo/audits/, or demos/; no 'no solicitation' notice found. NOT RUN: GHL 'E4L Services' sub-account dedupe (ghl-contacts.js). Flag: directory lists CAC057411 expiring 08/31/2026 and DBPR returned no record for my query - verify before citing.</t>
        </is>
      </c>
      <c r="BN4" s="8" t="inlineStr">
        <is>
          <t>D1 Decision-maker: 8/20 - Mark Derringer, Owner/President, cited on the site 'Meet Our Staff' page and BBB Business Management (two sources); co-owner Linda Heinmiller, Owner/Corp. Secretary; only a generic mailbox (service@bobheinmiller.com); no LinkedIn, no direct line -&gt; call-first route. | D2 Phone/after-hours gap: 9/15 - phone-first ('Hotline' in header, 'Call for fast, friendly service'), 24/7 claim on site, Google-mirrored hours 'Open 24 hours' (unclaimed listing), no answering-service or AI vendor in source, '24/7 Call Service Support' button goes to a web form; no direct proof of who answers after hours, so not 15. | D3 Lead-response leak: 10/15 - two distinct signal types: (1) verbatim responsiveness review dated Aug 11, 2026 plus an older Jan 19, 2023 'will not call me back' review; (5) no booking, chat, or text widget verified in page source and the contact form has no response-time promise. Signal (3) owner-reply neglect is probable (zero replies on four mirrors) but GBP itself was not opened, so not counted. | D4 AI search gap: 6/10 - Named in 0 of 3 answers on one platform (min 3 answers met), competitors named, no FAQPage/LocalBusiness schema; other platforms unreachable. | D5 ICP fit / ability to pay: 15/15 - independently owned family corp, 1 location, named owners; HVAC core niche; 5+ proxies: since 1990 (BBB foundingDate, accredited 1991), 450-592 Google reviews, LinkedIn 11-50 / SPW 42 employees with 5 named field staff, HVAC install ticket $6-12k plus 0%/24-month financing, 24-community service area and 24/7 claim. | D6 Buying signals: 11/15 - dated trigger 61-180 days (2026 Top Solar Contractor post, July 24, 2026) plus spend groups (d) GTM + Meta pixel + agency credit and (e) Birdeye on the solar entity; sales + installer job posts (undated); groups (a)(b)(c) not checkable from here - logged null. | D7 Attitude / stack: 10/10 - positives: modern site (© 2026, modified 2026-04-09, SSL), tech adoption (financing, Meta pixel, Birdeye on solar), growth posture (2026 award, hiring, OBJ Fast 50, Carrier President's Award); no hostile replies, no anti-marketing statements, no bundled vertical agency (Orange Rock Media is a local web shop). TOTAL 69/100 -&gt; QUALIFIED band (55-74). Status: TRUSTED on the checks run here (7/7 dimensions with evidence, D1 positive citation, D3 verbatim, D5 cited); GHL 'E4L Services' dedupe via ghl-contacts.js was NOT run from this subagent - orchestrator must run it before load.</t>
        </is>
      </c>
      <c r="BO4" s="8" t="inlineStr">
        <is>
          <t>https://www.bobheinmiller.com/about-us/meet-our-staff/, https://www.bbb.org/us/fl/orlando/profile/air-conditioning-contractor/bob-heinmiller-air-conditioning-inc-0733-101349, https://www.bobheinmiller.com/, https://www.bobheinmiller.com/about-us/, https://www.bobheinmiller.com/contact-us/, https://www.solarreviews.com/installers/bob-heinmiller-solar-solutions,-llc.-reviews, https://trustanalytica.org/us/fl/orlando/reviews/bob-heinmiller-solar-solutions, https://www.bobheinmiller.com/blog/, https://www.bobheinmiller.com/about-us/one-of-50-fastest-growing-companies-in-central-florida/, https://www.solarpowerworldonline.com/suppliers/bob-heinmiller-solar/, https://www.dispatchcore.io/directory/hvac/orlando-fl/bob-heinmiller-air-conditioning-inc, https://serviceagent.ai/directory/florida/orlando/32804/hvac/, https://www.experience.com/reviews/bob-22278495, https://www.carrier.com/us/en/residential/dealers/fl/orlando/1537-w-smith-st-3482-loc, https://www.linkedin.com/company/bob-heinmiller-air-conditioning-inc/, https://www.careerbuilder.com/job-details/home-comfort-advisor-orlando-fl--a83cea90-709a-4504-bc87-28a433854c52, https://reviews.birdeye.com/bob-heinmiller-solar-solutions-orlando-solar-contractor-156234086765216, https://www.bobheinmiller.com/about-us/employment-opportunities/, https://energysage.com/supplier/27822/bob-heinmiller-air-conditioning-inc, https://www.yelp.com/biz/bob-heinmiller-air-conditioning-orlando-7, http://web.archive.org/web/20231224213759/https://bobheinmiller.com/</t>
        </is>
      </c>
      <c r="BP4" s="8" t="inlineStr">
        <is>
          <t>Medium</t>
        </is>
      </c>
      <c r="BQ4" s="8" t="inlineStr">
        <is>
          <t>Title detail: Owner/President (site 'Meet Our Staff' page: 'Mark Derringer Owner/President'; BBB Business Management: 'Mark Derringer, President'; quoted as 'Mark Derringer, President of Bob Heinmiller Air Conditioning' in the company's June 21, 2019 release). Co-owner: Linda Heinmiller(-Derringer), 'Owner/Corp. Secretary' on the site, 'Linda Derringer, Secretary' on BBB; she signs the About-Us letter and is the family-legacy voice. Founder: Bob Heinmiller.. 1) Address Mark Derringer as Owner/President; Linda Heinmiller(-Derringer), Owner/Corp. Secretary, signs the family letter - consider copying her on email; do not characterize their relationship beyond 'co-owners'. 2) Only a generic mailbox exists (service@) - route call-first; if emailing, write for a gatekeeper and ask for Mark by name. 3) Never quote the 'will not call me back' or 'call me back this afternoon' reviews verbatim to the owner; summarize as a pattern. 4) Do not imply replacing office staff - position as after-hours/overflow only (Family-Legacy playbook). 5) Not verified from here: GBP hours and owner-reply rate (Google blocked), Google Ads / Meta Ad Library / LSA (blocked), ChatGPT/Perplexity/Gemini spot-check (blocked - only one platform checked). 6) A directory shows license CAC057411 'exp 08/31/2026'; DBPR search returned no record for my query - verify renewal on myfloridalicense.com before citing the license. 7) Sister entity Bob Heinmiller Solar Solutions, LLC (1519 W Smith St, Birdeye-managed reviews, Mon-Fri 8-5) shares the owners - one demo line could cover AC + electrical + solar intake. 8) Carrier's dealer page shows a different phone (321-319-3980) - they may already have a dealer-locator tracking line; ask, don't assume. 9) Suppression.csv and seen.csv are clean; GHL E4L Services dedupe (ghl-contacts.js) still needs to run before load. 10) Florida call window is 8 AM-8 PM; Sam should log who answers (human/IVR/voicemail) to update D2.</t>
        </is>
      </c>
      <c r="BR4" s="10" t="inlineStr"/>
      <c r="BS4" s="10" t="inlineStr"/>
      <c r="BT4" s="10" t="inlineStr"/>
    </row>
    <row r="5" ht="120" customHeight="1">
      <c r="A5" s="8" t="inlineStr">
        <is>
          <t>20261012-04</t>
        </is>
      </c>
      <c r="B5" s="8" t="inlineStr">
        <is>
          <t>2026-10-12</t>
        </is>
      </c>
      <c r="C5" s="8" t="n">
        <v>1</v>
      </c>
      <c r="D5" s="10" t="inlineStr"/>
      <c r="E5" s="10" t="inlineStr">
        <is>
          <t>New</t>
        </is>
      </c>
      <c r="F5" s="8" t="n">
        <v>68</v>
      </c>
      <c r="G5" s="8">
        <f>IF(F5="","",IF(F5&gt;=80,"A — send today",IF(F5&gt;=60,"B — worth a touch",IF(F5&gt;=40,"C — hold","D — reject"))))</f>
        <v/>
      </c>
      <c r="H5" s="8" t="inlineStr">
        <is>
          <t>Appalachian Tree Service of Atlanta, Inc.</t>
        </is>
      </c>
      <c r="I5" s="8" t="inlineStr">
        <is>
          <t>Ryan</t>
        </is>
      </c>
      <c r="J5" s="8" t="inlineStr">
        <is>
          <t>Strache</t>
        </is>
      </c>
      <c r="K5" s="8" t="inlineStr">
        <is>
          <t>President/Owner</t>
        </is>
      </c>
      <c r="L5" s="8" t="inlineStr">
        <is>
          <t>ryan@appalachiantreeservice.com</t>
        </is>
      </c>
      <c r="M5" s="8" t="inlineStr">
        <is>
          <t>Personal (named)</t>
        </is>
      </c>
      <c r="N5" s="8" t="inlineStr">
        <is>
          <t>Confirmed</t>
        </is>
      </c>
      <c r="O5" s="8" t="inlineStr">
        <is>
          <t>Not found (only the main line +1 404-409-9926 is published on site, BBB and Nextdoor; line type not stated, do not text)</t>
        </is>
      </c>
      <c r="P5" s="8" t="inlineStr">
        <is>
          <t>+1 404-409-9926</t>
        </is>
      </c>
      <c r="Q5" s="8" t="inlineStr">
        <is>
          <t>Tree service (climber-led tree removal, trimming/pruning, debris hauling, undergrowth clearing, storm-damage cleanup)</t>
        </is>
      </c>
      <c r="R5" s="8" t="inlineStr">
        <is>
          <t>extend</t>
        </is>
      </c>
      <c r="S5" s="8" t="inlineStr">
        <is>
          <t>Kennesaw</t>
        </is>
      </c>
      <c r="T5" s="8" t="inlineStr">
        <is>
          <t>GA</t>
        </is>
      </c>
      <c r="U5" s="8" t="inlineStr">
        <is>
          <t>A dated promotion is live through Oct 31, 2026 ('Save 10% This October' on hazard trees and referrals), fall storm/leaf-drop season is on, the site was just relaunched (July 2026) and is still being added to (HVAC partner page Sept 12, 2026), and Affirm financing is being set up for larger jobs — every one of those pushes inbound calls into a Mon–Fri 9–5 window with 'no nighttime dispatch'. The owner is clearly investing in his web presence this quarter; the after-hours phone is the piece that is still uncovered.</t>
        </is>
      </c>
      <c r="V5" s="8" t="inlineStr">
        <is>
          <t>Growth-Minded Operator (medium confidence: 4 signals across 2 source categories - website + third-party profiles); secondary: Overwhelmed Owner-Operator</t>
        </is>
      </c>
      <c r="W5" s="8" t="inlineStr">
        <is>
          <t>Voice AI live demo built from appalachiantreeservice.com (generic home-services template: trade = tree service; scenario = tree down on the house after a storm at 9 PM; the AI qualifies the caller, captures address/damage details and books the first-morning assessment - no nighttime dispatch promised) + missed-call text-back. demo_build = yes (phone-first, D2 = 15, site scrapes cleanly). run_geo_audit = after D4 spot-check.</t>
        </is>
      </c>
      <c r="X5" s="8" t="inlineStr">
        <is>
          <t>Recover</t>
        </is>
      </c>
      <c r="Y5" s="8" t="inlineStr">
        <is>
          <t>Who takes the 9 PM storm call in Kennesaw?</t>
        </is>
      </c>
      <c r="Z5" s="8" t="inlineStr">
        <is>
          <t>Ryan, your storm-damage pages say it plainly: 'There is no after-hours nighttime dispatch' — fair enough for a climber-led crew, but the homeowner with a limb on the roof at 9 PM usually just calls the next Kennesaw tree service on Google.</t>
        </is>
      </c>
      <c r="AA5" s="8" t="inlineStr">
        <is>
          <t>Relief + coverage, not growth: he is the climber, the estimator and the inbox, and he is paying to drive calls right now (October 10%-off hazard-tree promo, brand-new site, 48 storm-damage city pages added Sept 1) while evening calls go to voicemail. Pitch the storm-week scenario: an AI receptionist trained on his own site answers the after-hours and overflow calls, qualifies the caller (name, address, what fell, photos via the form link), and books the morning assessment — it never dispatches at night, it just keeps the lead. Proof lever: 'we already built a demo line from your website; call it before you pay a dollar.' Go-live = one conditional call-forwarding rule for missed/busy calls; rollback is one dial code. Ask #1: 20-minute Game Plan Call. Ask #2: the free AI visibility check once D4 runs. Keep it to 3 short lines; do not say he misses calls (reviews praise his response speed) and do NOT say weekends are uncovered (his storm pages accept weekend urgent calls) — say 'after 5 PM' / 'overnight'.</t>
        </is>
      </c>
      <c r="AB5" s="8" t="inlineStr">
        <is>
          <t>'I'm a small climber-led crew and I don't do night work — I don't need more calls I can't handle.' Answer: the receptionist does not dispatch anything; it answers, captures the details and books the assessment into the next open morning so you choose the jobs instead of losing them to whoever picked up. Secondary: 'I just rebuilt the site / I handle the phone myself' — it only covers the calls that already go to voicemail, trained on that new site, nothing for you to set up beyond one forwarding rule. Budget sensitivity is likely (solo email, no office staff) — keep pricing for the Game Plan Call.</t>
        </is>
      </c>
      <c r="AC5" s="8" t="inlineStr">
        <is>
          <t>Hi Ryan, this is Sam with Eat 4 Life Marketing — this is a cold call, so feel free to hang up on me. I was on your site this week: nice October hazard-tree special. I also noticed your storm-damage pages say there's no after-hours nighttime dispatch — which makes sense when you're the one in the tree. We build an AI receptionist trained on your own company that picks up the 9 PM storm call, gets the address and what came down, and books your first morning assessment — and we build the demo line from your website before you pay anything. Can I take 20 seconds to tell you how it works, or is this a bad time?</t>
        </is>
      </c>
      <c r="AD5" s="8" t="inlineStr">
        <is>
          <t>Tue–Thu 4:15–5:00 PM ET — the last 45 minutes of his posted Mon–Fri 9–5 window, when a climber-led crew is off the tree and the site says requests are reviewed 'during our stated operating hours'; fallback Mon–Fri 9:00–9:30 AM ET right at opening before the crew rolls. Do not call outside 9–5 ET (closed; voicemail only).</t>
        </is>
      </c>
      <c r="AE5" s="8" t="inlineStr">
        <is>
          <t>Mon–Fri 9:00 AM–5:00 PM; Sat–Sun Closed for normal operations (contact page, JSON-LD OpeningHoursSpecification, Nextdoor). EXCEPTION on the 48 /storm-damage/{city} pages: 'Weekend calls are accepted for urgent storm inquiries and estimates. No after-hours nighttime dispatch.' Google Business Profile not opened directly.</t>
        </is>
      </c>
      <c r="AF5" s="8" t="inlineStr">
        <is>
          <t>America/New_York (Eastern Time)</t>
        </is>
      </c>
      <c r="AG5" s="8" t="inlineStr">
        <is>
          <t>No office manager, dispatcher or answering service is named anywhere (site, BBB, Nextdoor; no vendor scripts in source). The only mailbox is ryan@, and a Nextdoor reviewer refers to 'Ryan and his staff', so the main line +1 404-409-9926 most likely rings to Ryan or straight to voicemail during a job. Ask for Ryan by first name; if a crew member answers, ask when Ryan reviews estimate requests (site says during 9–5) and call back then. Line type not published — manual dial only, no SMS. If voicemail: leave name, 'built a demo line for Appalachian Tree Service', and let Sebastian's email carry it.</t>
        </is>
      </c>
      <c r="AH5" s="8" t="inlineStr">
        <is>
          <t>The live October promotion: 'October Special • Active Oct 1 – Oct 31 — Don't Let Spooky Trees Haunt Your Home — Save 10% This October' on the newly relaunched site (https://www.appalachiantreeservice.com/, seen 2026-10-13). Dated, positive, business-specific and his own words; pairs naturally with 'every call that promo brings in after 5 PM currently waits until morning' (contact page: 'We review requests during our stated operating hours').</t>
        </is>
      </c>
      <c r="AI5" s="8" t="inlineStr">
        <is>
          <t>(a) Storm calls after 5 PM have nowhere to go: homepage Service schema 'Storm-damage inquiries, assessment and cleanup ... during listed inquiry hours; no nighttime dispatch'; /storm-damage/{city} pages: 'There is no after-hours nighttime dispatch.' (b) Contact page: 'We review requests during our stated operating hours.' (c) Owner is the crew: 'Our experienced climber works with ropes and safety gear' (singular) on /about; the only published mailbox is ryan@. (d) Booking friction: no scheduler, no chat/text, form with no response-time promise, phone-first CTA 'Call for Free Estimate'. (e) He is spending to drive calls right now (Oct 1–31 10%-off promo, new site, 48 storm-damage city pages added 2026-09-01, 48 blog posts 2026-09-13) while evenings are uncovered. CAUTION: the storm pages say weekend calls ARE accepted for urgent storm inquiries — do not say weekends are uncovered. No reachability complaints found; Nextdoor praises 'quick on a response' — frame as after-5-PM/storm-surge coverage, not missed calls.</t>
        </is>
      </c>
      <c r="AJ5" s="8" t="inlineStr">
        <is>
          <t>(1) Dated promotion live now: 'October Special • Active Oct 1 – Oct 31' 'Don't Let Spooky Trees Haunt Your Home — Save 10% This October' (homepage, /contact?promotion=spooky-trees-october-2026) - within 60 days. (2) Bulk content push 2026-09-01: 48 /storm-damage/{city} pages + 24 /tree-removal-permits/{city} pages (sitemap lastmod) - 42 days ago; 48 city blog posts lastmod 2026-09-13 - 30 days ago; /hvac partner page 2026-09-12 - 31 days ago. (3) Website relaunch ~2026-07-16/17 (core pages lastmod 2026-07-17; service-area pages 2026-07-18) - 88 days ago. (4) Affirm consumer financing being set up (financing page). Negatives: none (no closing/selling/retiring signals). Not checkable: job posts (Indeed 403, /careers 404), press, LinkedIn (search budget exhausted).</t>
        </is>
      </c>
      <c r="AK5" s="8" t="inlineStr">
        <is>
          <t>(1) Website rebuilt/relaunched ~2026-07-16/17 with 24 new service-area pages (sitemap lastmod 2026-07-18), 20 city blog posts (2026-07-20), LocalBusiness + Service JSON-LD, © 2026 - https://www.appalachiantreeservice.com/sitemap.xml ; RDAP 'last changed 2026-07-16'. (2) Active dated promotion on homepage: 'October Special • Active Oct 1 – Oct 31 ... Save 10% This October ... Available for qualifying active open estimates, new October estimates, and family, friend or neighbor referrals' - https://www.appalachiantreeservice.com/ (2026-10-13). (3) Financing page: 'We're in the process of setting up Affirm financing to give you the option to split larger tree jobs into manageable monthly payments' - https://www.appalachiantreeservice.com/financing. (4) Chases reviews/reputation across platforms: 'Review Us On Google Yelp Facebook Instagram Nextdoor Angi HomeAdvisor Bing Apple Maps BBB Yellow Pages' footer; BBB accredited since 2021-09-08, A+ - https://www.bbb.org/us/ga/kennesaw/profile/tree-service/appalachian-tree-service-of-atlanta-inc-0443-27222938 ; Nextdoor Neighborhood Fave 2022. (5) Added HVAC referral-partner page 2026-09-12 (sitemap). Overwhelmed overlay: 'Our experienced climber' (singular), owner's first-name email is the only mailbox, Mon–Fri 9–5 only, 'We review requests during our stated operating hours'. No negatives found (no hostile replies, no anti-marketing or anti-AI statements; social/GBP replies not accessible this session).</t>
        </is>
      </c>
      <c r="AL5" s="8" t="inlineStr">
        <is>
          <t>Not found beyond public business records: President/Owner and registered agent of Appalachian Tree Service of Atlanta, Inc. (GA Domestic Profit Corp, Active/Compliance), business founded 2006-06-30 per BBB, BBB accredited since 2021-09-08 with A+ and 0 complaints in 3 years. No bio, LinkedIn, interview or press found.</t>
        </is>
      </c>
      <c r="AM5" s="8" t="inlineStr">
        <is>
          <t>Tone: professional, understated, property-respect and honesty framed; no hype. Verbatim site lines: 'Climber-led tree care for homeowners who care about their property.' / 'We climb it, cut it, carry it out by hand, and haul it away in our dump trailer.' / 'Tell us what's going on with your trees. We'll give you an honest assessment and a free estimate.' / 'provide an honest, no-pressure quote' (tree-removal page). Partner page voice: 'Just like Appalachian Tree Service, Top Tech Mechanical is a local company that takes care of its customers... we use them ourselves.' Reputation-conscious: BBB accredited A+, 'Rated 5.0 on Google · 136 reviews' badge, Nextdoor Neighborhood Fave 2022. Nextdoor reviewer: 'Ryan and his staff were courteous, professional, and easy to work with.' Payment flexibility (Venmo/Zelle/CashApp/PayPal; Affirm 'in the process of setting up'). Site built on an AI website platform (Manus assets/analytics) - comfortable using AI tools, but no 'AI' statements anywhere.</t>
        </is>
      </c>
      <c r="AN5" s="8" t="inlineStr">
        <is>
          <t>Owner-operator</t>
        </is>
      </c>
      <c r="AO5" s="8" t="inlineStr">
        <is>
          <t>Not found (linkedin.com returned HTTP 429; web-search budget was exhausted this turn so no X-ray was possible)</t>
        </is>
      </c>
      <c r="AP5" s="8" t="inlineStr">
        <is>
          <t>Business accounts only (linked from site footer): https://www.facebook.com/AppalachianTree (login wall), https://www.instagram.com/appalachian_tree_service/ (429), https://x.com/appalachian_of (403), https://nextdoor.com/pages/appalachian-tree-service-kennesaw-ga-1/ (Neighborhood Fave 2022), https://www.yelp.com/biz/appalachian-tree-service-kennesaw-2 (403). No personal owner handle found.</t>
        </is>
      </c>
      <c r="AQ5" s="8" t="inlineStr">
        <is>
          <t>https://www.appalachiantreeservice.com</t>
        </is>
      </c>
      <c r="AR5" s="8" t="inlineStr">
        <is>
          <t>Not found (the only published address is ryan@appalachiantreeservice.com)</t>
        </is>
      </c>
      <c r="AS5" s="8" t="inlineStr">
        <is>
          <t>3070 N Main St NW, Kennesaw, GA 30144-2756 (site footer + BBB + GA SOS record via OpenCorporates)</t>
        </is>
      </c>
      <c r="AT5" s="8" t="inlineStr">
        <is>
          <t>30144</t>
        </is>
      </c>
      <c r="AU5" s="8" t="inlineStr">
        <is>
          <t>Kennesaw HQ; 24 listed cities across Cobb, Cherokee, Fulton, DeKalb, Forsyth, Paulding, Bartow (+Douglas via Austell): Kennesaw, Acworth, Marietta, Smyrna, Woodstock, Canton, Dallas, Powder Springs, Roswell, Alpharetta, Sandy Springs, Buckhead, Brookhaven, Dunwoody, Milton, Cumming, Hiram, Holly Springs, Ball Ground, Austell, Vinings, Cartersville, Emerson, White (https://www.appalachiantreeservice.com/about/ + LocalBusiness areaServed schema)</t>
        </is>
      </c>
      <c r="AV5" s="8" t="inlineStr">
        <is>
          <t>https://g.page/appalachian-tree-service (site 'Review Us On Google' link; GBP not opened directly this session) ; footer map link: https://maps.google.com/?q=3070+N+Main+St+Kennesaw+GA+30144</t>
        </is>
      </c>
      <c r="AW5" s="8" t="inlineStr">
        <is>
          <t>5.0 (site badge 'Rated 5.0 on Google · 136 reviews', aria-label 'Rated 5.0 on Google from 136 reviews. Opens the verified Google p...' on https://www.appalachiantreeservice.com/ as of 2026-10-13; GBP itself not opened)</t>
        </is>
      </c>
      <c r="AX5" s="8" t="inlineStr">
        <is>
          <t>136 Google (per site badge, 2026-10-13); BBB 8 customer reviews, 0 complaints in 3 yrs; Nextdoor 4 recommendations shown; carousel review on site dated 'a month ago'</t>
        </is>
      </c>
      <c r="AY5" s="8" t="inlineStr">
        <is>
          <t>2006 (~20 years): site 'Serving metro Atlanta since 2006'; BBB foundingDate 2006-06-30; domain appalachiantreeservice.com registered 2006-02-05 (RDAP, GoDaddy). GA Domestic Profit Corporation #0651574, status Active/Compliance (OpenCorporates; incorporation date behind login)</t>
        </is>
      </c>
      <c r="AZ5" s="8" t="inlineStr">
        <is>
          <t>Not published. Small owner-led crew: About page 'Our experienced climber works with ropes and safety gear' (singular), gallery alt 'Crew posing in front of completed job', Nextdoor reviewer 'Ryan and his staff'; BBB employee count not listed; equipment = climbing gear + dump trailer, no bucket truck/crane mentioned</t>
        </is>
      </c>
      <c r="BA5" s="8" t="inlineStr">
        <is>
          <t>1 (single address on site, BBB, GA SOS/OpenCorporates; 24 service-area pages are cities served, not branches)</t>
        </is>
      </c>
      <c r="BB5" s="8" t="inlineStr">
        <is>
          <t>Tree removal; tree trimming &amp; pruning (ANSI A300); debris hauling (hand-carried, dump trailer); undergrowth clearing; 'Storm-Damage Tree Service' (schema: inquiries/assessment/cleanup 'during listed inquiry hours; no nighttime dispatch'); referral-partner pages for stump grinding, landscaping, arborist consultations, roofing, HVAC (Top Tech Mechanical, page updated 2026-09-12)</t>
        </is>
      </c>
      <c r="BC5" s="8" t="inlineStr">
        <is>
          <t>modern (borderline advanced): SSL, LocalBusiness + Service JSON-LD schema, AI-built site (Manus), digital payments (PayPal/Venmo/Zelle/CashApp), Affirm financing in setup; BUT no online booking, no chat, no text-us, no GBP messaging evidence, no CRM/call-tracking scripts</t>
        </is>
      </c>
      <c r="BD5" s="8" t="inlineStr">
        <is>
          <t>diy (no agency credit; AI-builder site with programmatic city pages/blog; owner-run promo banner; directory listings on Angi/HomeAdvisor/Yelp/Nextdoor; no pixels, GTM or call tracking in source; ads status not checkable this turn)</t>
        </is>
      </c>
      <c r="BE5" s="8" t="inlineStr">
        <is>
          <t>established (since 2006, 136 Google reviews at 5.0 per site badge, 1 location) with fresh investment signals (new site Jul 2026, Oct 2026 promo, financing) - leaning 'scaling' on web presence, no hiring evidence found</t>
        </is>
      </c>
      <c r="BF5" s="8" t="inlineStr">
        <is>
          <t>unknown (Google Business Profile, Yelp, Angi and HomeAdvisor could not be opened this session - 403/redirect; BBB shows 8 reviews but text not rendered; Nextdoor shows 4 recommendations, no owner replies visible)</t>
        </is>
      </c>
      <c r="BG5" s="8" t="inlineStr">
        <is>
          <t>No nighttime coverage claimed. Homepage Service JSON-LD: 'Storm-damage inquiries, assessment and cleanup ... during listed inquiry hours; no nighttime dispatch'. /storm-damage/kennesaw (and 47 sibling city pages, 2026-09-01): 'Storm inquiry hours Monday–Friday: 9:00 AM–5:00 PM for normal operations and dispatch. Saturday–Sunday: Weekend calls accepted for urgent storm inquiries and estimates. There is no after-hours nighttime dispatch.' Contact page: 'We review requests during our stated operating hours.' No 24/7 claim, answering service, AI receptionist or IVR vendor in page source. Gap to pitch = evenings/nights (after 5 PM), NOT weekends.</t>
        </is>
      </c>
      <c r="BH5" s="8" t="inlineStr">
        <is>
          <t>None - 'Schedule Free Estimate' and 'Request Online Estimate' buttons go to the /contact form (First/Last name, address, email, phone, 'How Did You Hear About Us?', up to 4 photos, 'Tell Us About Your Trees'); no scheduler script (checked page source: only files.manuscdn.com and manus-analytics.com)</t>
        </is>
      </c>
      <c r="BI5" s="8" t="inlineStr">
        <is>
          <t>None - no chat, text-us or messaging widget in page source; form page states 'Your request is not confirmed until the site reports that it was saved.' with no response-time promise</t>
        </is>
      </c>
      <c r="BJ5" s="8" t="inlineStr">
        <is>
          <t>Site built/hosted via Manus AI website builder (assets at files.manuscdn.com, /manus-storage/ image paths, manus-analytics.com script); domain registrar GoDaddy (RDAP); email on Google Workspace (MX aspmx.l.google.com - MX present yes); Affirm financing 'in the process of setting up'; payment: PayPal, Venmo, Zelle, CashApp, cards; directory profiles: Angi (companylist ...2847650), HomeAdvisor (rated.AppalachianTreeService.67089025), Yelp, Nextdoor, BBB, Bing Places, Apple Maps, Yellow Pages. NOT found: booking, chat, text, CallRail/CTM, GTM, Meta pixel, Hotjar, CRM forms, agency credit, answering service, AI receptionist.</t>
        </is>
      </c>
      <c r="BK5" s="8" t="inlineStr">
        <is>
          <t>Not checked - Google Ads Transparency Center rendered no results for the domain (JS app), Meta Ad Library returned HTTP 403, and the Google 'Sponsored'/LSA checks could not run (web-search budget exhausted this turn). Page source shows no GTM, Meta pixel, gclid/UTM landing pages or call-tracking swap, which usually accompany paid search. HomeAdvisor/Angi pro profiles exist (paid-directory group).</t>
        </is>
      </c>
      <c r="BL5" s="8" t="inlineStr">
        <is>
          <t>Not checked - ChatGPT/Perplexity/Gemini could not be queried from this session and the web-search budget was exhausted before the two money-question checks ('emergency tree removal near Kennesaw, GA', 'best tree service Kennesaw GA') ran. Schema check done: LocalBusiness + 5 Service entries in JSON-LD on every page, NO FAQPage schema and no FAQ content on home/tree-removal pages; robots.txt allows all crawlers. D4 scored 0 / NO EVIDENCE; run the spot-check before promoting to SEND TODAY.</t>
        </is>
      </c>
      <c r="BM5" s="8" t="inlineStr">
        <is>
          <t>PASS — Chain/franchise: no (independent GA Domestic Profit Corporation #0651574, Active/Compliance, 1 location, no franchise language; not Davey/Bartlett/SavATree/Monster). Website: own domain live, HTTP 200, © 2026, SSL. Live US business: Kennesaw GA address on site/BBB/SOS, BBB accredited since 2021, review on site 'a month ago', Oct 2026 promo active. Inbound channel: phone in header + contact form. Category: tree service (not competitor/non-buyer). Already automated: no AI receptionist, answering service or GEO vendor in page source; FAQPage schema absent. E4L world: 0 hits in suppression.csv and seen.csv for 'appalachian', 'appalachiantreeservice', 'strache'; GHL sub-account dedupe not run here. No 'no solicitation' notice found.</t>
        </is>
      </c>
      <c r="BN5" s="8" t="inlineStr">
        <is>
          <t>D1 Decision-maker reach: 14/20 — Full name + role from BBB ('Ryan Strache, President/Owner', https://www.bbb.org/us/ga/kennesaw/profile/tree-service/appalachian-tree-service-of-atlanta-inc-0443-27222938) corroborated by GA SOS data on OpenCorporates (registered agent 'Ryan Strache', https://opencorporates.com/companies/us_ga/0651574); personal-pattern email ryan@appalachiantreeservice.com published on the site header/footer/contact and in LocalBusiness JSON-LD (https://www.appalachiantreeservice.com/contact/), MX present; NO secondary channel (no LinkedIn, no owner social, no second phone) so not 20. | D2 Phone/after-hours gap: 15/15 — Phone-first (tel: in header, hero CTA 'Call for Free Estimate (404) 409-9926'); hours 'Monday–Friday: 9:00 AM–5:00 PM', 'Sat-Sun: Closed' (site + Nextdoor) while the site advertises 'Storm-Damage Tree Service' with the quoted gap 'during listed inquiry hours; no nighttime dispatch' and 'We review requests during our stated operating hours'; no 24/7, answering-service or AI-receptionist mention in page source. | D3 Lead-response leak: 5/15 — Exactly 1 signal type: (5) booking/contact friction verified in page source (no scheduler/chat/text vendor scripts; form has no response-time promise). Checked and null/inaccessible: Nextdoor (praise for response), site carousel (1 positive review), BBB (8 reviews, text not rendered), Yelp/Angi/HomeAdvisor/Indeed (403), /careers (404); GBP reply rate unknown. | D4 AI search gap: 0/10 NO EVIDENCE — no AI platform could be queried this turn; schema check only (LocalBusiness/Service present, no FAQPage). | D5 ICP fit/ability to pay: 15/15 — (a) independent GA Domestic Profit Corp, 1 location, named owner; (b) tree service passes the need test (niche-playbook fit 4/5, $500–$3k removals, storm cleanups $9k+); (c) proxies: since 2006 (site, BBB 2006-06-30, domain 2006-02-05), 100+ reviews (136 per site badge), 24-city service area, per-ticket value &gt;= $1,000 by niche reference + Affirm financing in setup = 3+. | D6 Buying signals: 11/15 — Trigger within 60 days (Oct 1–31 promo on homepage; seasonal window with business-specific advertising) plus site relaunch 88 days ago and partner page 31 days ago; spend checklist: (a) Google Ads not checked (search budget), (b) LSA not checked, (c) Meta Ad Library 403, (d) no agency/pixel/call-tracking in source, (e) HomeAdvisor/Angi/Nextdoor/Yelp listings present. No (a)/(b)/(c) confirmed so not 15. | D7 Owner attitude/stack: 10/10 — Positives: (b) modern site © 2026 relaunched Jul 2026; (c) tech adoption (JSON-LD schema, AI-built site, digital payments, financing in setup); (e) growth posture (24 service-area pages, blog, promo, referral-partner pages). Negatives: none found. No incumbent agency/vertical bundle; greenfield. | TOTAL 70/100 = QUALIFIED. Status: TRUSTED (6 of 7 dimensions with evidence; D1 positive; D2 direct quotes; D5 cited) but NOT eligible for SEND TODAY until the D4 spot-check runs on at least one platform and GHL dedupe (ghl-contacts.js) is confirmed.</t>
        </is>
      </c>
      <c r="BO5" s="8" t="inlineStr">
        <is>
          <t>https://www.appalachiantreeservice.com/, https://www.appalachiantreeservice.com/contact/, https://www.bbb.org/us/ga/kennesaw/profile/tree-service/appalachian-tree-service-of-atlanta-inc-0443-27222938, https://opencorporates.com/companies/us_ga/0651574, https://www.appalachiantreeservice.com/about/, https://www.appalachiantreeservice.com/financing, https://www.appalachiantreeservice.com/tree-removal, https://www.appalachiantreeservice.com/sitemap.xml, https://www.appalachiantreeservice.com/hvac, https://www.appalachiantreeservice.com/contact?promotion=spooky-trees-october-2026, https://nextdoor.com/pages/appalachian-tree-service-kennesaw-ga-1/, https://www.appalachiantreeservice.com/gallery, https://www.appalachiantreeservice.com/robots.txt, https://rdap.org/domain/appalachiantreeservice.com, https://dns.google/resolve?name=appalachiantreeservice.com&amp;type=MX, https://g.page/appalachian-tree-service, https://www.yelp.com/biz/appalachian-tree-service-kennesaw-2, https://www.angi.com/companylist/us/ga/kennesaw/appalachian-tree-service-of-atlanta-reviews-2847650.htm, https://www.homeadvisor.com/rated.AppalachianTreeService.67089025.html, https://www.facebook.com/AppalachianTree, https://www.instagram.com/appalachian_tree_service/, https://x.com/appalachian_of</t>
        </is>
      </c>
      <c r="BP5" s="8" t="inlineStr">
        <is>
          <t>Medium</t>
        </is>
      </c>
      <c r="BQ5" s="8" t="inlineStr">
        <is>
          <t>Title detail: President/Owner (BBB Business Management: 'Ryan Strache, President/Owner'); also Registered Agent of the GA corporation (OpenCorporates #0651574). 1) Band = QUALIFIED (70, TRUSTED on 6/7 dimensions) but held out of SEND TODAY only because the D4 AI spot-check could not run this turn (web-search budget exhausted; AI platforms not reachable) — one Perplexity/ChatGPT pass on 'emergency tree removal near Kennesaw, GA' promotes it. 2) GHL 'E4L Services' dedupe (ghl-contacts.js by domain/phone/name+city) was NOT run from this subagent; suppression.csv and seen.csv are clean (0 hits for name, domain, Strache). 3) Email route: ryan@appalachiantreeservice.com is Confirmed (on the business's own site + JSON-LD, Google Workspace MX); send from Sebastian plain-text, Sam calls within 48 h. 4) Google/Yelp/Angi/HomeAdvisor reviews and Facebook/Instagram/X could not be opened (403/login walls), so review-reply behavior and social cadence are unknown — Rozel may want a quick manual look at the GBP before send. 5) The site is built on Manus (AI website builder) — he has already used an AI tool, so 'AI' is not a scary word, but lead with the 9 PM storm call, not the tech. 6) Do not say he misses calls (Nextdoor praises his response speed); frame as after-hours and storm-surge coverage. 7) OpenCorporates lists the registered agent at a non-business address — not recorded, do not use. 8) Demo scenario for Abdullah: tree on the house after a storm at night; AI collects name, number, address, what fell, offers the free estimate and books the next-morning assessment; no nighttime dispatch promised. 9) Referral partners on his site (roofing, HVAC, landscaping, stump grinding, arborist) are a possible referral angle later — the HVAC partner (Top Tech Mechanical) advertises 24-hour emergency service, a natural contrast he will recognize.</t>
        </is>
      </c>
      <c r="BR5" s="10" t="inlineStr"/>
      <c r="BS5" s="10" t="inlineStr"/>
      <c r="BT5" s="10" t="inlineStr"/>
    </row>
    <row r="6" ht="120" customHeight="1">
      <c r="A6" s="8" t="inlineStr">
        <is>
          <t>20261012-05</t>
        </is>
      </c>
      <c r="B6" s="8" t="inlineStr">
        <is>
          <t>2026-10-12</t>
        </is>
      </c>
      <c r="C6" s="8" t="n">
        <v>1</v>
      </c>
      <c r="D6" s="10" t="inlineStr"/>
      <c r="E6" s="10" t="inlineStr">
        <is>
          <t>New</t>
        </is>
      </c>
      <c r="F6" s="8" t="n">
        <v>66</v>
      </c>
      <c r="G6" s="8">
        <f>IF(F6="","",IF(F6&gt;=80,"A — send today",IF(F6&gt;=60,"B — worth a touch",IF(F6&gt;=40,"C — hold","D — reject"))))</f>
        <v/>
      </c>
      <c r="H6" s="8" t="inlineStr">
        <is>
          <t>Blue Peaks Roofing LLC</t>
        </is>
      </c>
      <c r="I6" s="8" t="inlineStr">
        <is>
          <t>Andrew</t>
        </is>
      </c>
      <c r="J6" s="8" t="inlineStr">
        <is>
          <t>Ubben</t>
        </is>
      </c>
      <c r="K6" s="8" t="inlineStr">
        <is>
          <t>Owner</t>
        </is>
      </c>
      <c r="L6" s="8" t="inlineStr">
        <is>
          <t>admin@bluepeaksroofing.com</t>
        </is>
      </c>
      <c r="M6" s="8" t="inlineStr">
        <is>
          <t>Generic (info@/office@)</t>
        </is>
      </c>
      <c r="N6" s="8" t="inlineStr">
        <is>
          <t>Confirmed</t>
        </is>
      </c>
      <c r="O6" s="8" t="inlineStr">
        <is>
          <t>Not found</t>
        </is>
      </c>
      <c r="P6" s="8" t="inlineStr">
        <is>
          <t>+1 303-808-0687</t>
        </is>
      </c>
      <c r="Q6" s="8" t="inlineStr">
        <is>
          <t>Roofing</t>
        </is>
      </c>
      <c r="R6" s="8" t="inlineStr">
        <is>
          <t>core</t>
        </is>
      </c>
      <c r="S6" s="8" t="inlineStr">
        <is>
          <t>Littleton</t>
        </is>
      </c>
      <c r="T6" s="8" t="inlineStr">
        <is>
          <t>CO</t>
        </is>
      </c>
      <c r="U6" s="8" t="inlineStr">
        <is>
          <t>81 days after their July hail-season inspection-capacity release, with fresh site and LinkedIn activity this week and a site that openly limits emergency repairs to business hours — reach them while hail claims are still live and before fall storm-repair calls pile up.</t>
        </is>
      </c>
      <c r="V6" s="8" t="inlineStr">
        <is>
          <t>Growth-Minded Operator (secondary: Tech-Forward Early Adopter) — confidence medium</t>
        </is>
      </c>
      <c r="W6" s="8" t="inlineStr">
        <is>
          <t>Voice AI live demo line built from bluepeaksroofing.com — after-hours/overflow receptionist that qualifies the caller (address, leak vs. hail, claim status) and books the free inspection — paired with missed-call text-back; Revenue Leak Scorecard as the email CTA (no links until warm-up clears); GEO audit as a later touch once the AI spot-check is run.</t>
        </is>
      </c>
      <c r="X6" s="8" t="inlineStr">
        <is>
          <t>Recover</t>
        </is>
      </c>
      <c r="Y6" s="8" t="inlineStr">
        <is>
          <t>Who picks up for Blue Peaks after 5pm?</t>
        </is>
      </c>
      <c r="Z6" s="8" t="inlineStr">
        <is>
          <t>Saw your post this week about a roof replacement not feeling like "radio silence until a dumpster shows up" — the same silence hits the Littleton homeowner who calls you at 7pm after a hailstorm and gets business-hours voicemail.</t>
        </is>
      </c>
      <c r="AA6" s="8" t="inlineStr">
        <is>
          <t>Your site says emergency repairs happen during normal business hours and that you call people back to set a time — in hail season that callback window is exactly when a homeowner dials the next roofer who picks up. We built a demo receptionist from bluepeaksroofing.com that answers after hours and overflow calls, asks the leak-or-hail and insurance questions your consultants ask, and books the free inspection; you can call it and hear it before anyone talks money. Go-live is one conditional call-forwarding rule on missed calls and rollback is one dial code, so nothing about how your team works changes.</t>
        </is>
      </c>
      <c r="AB6" s="8" t="inlineStr">
        <is>
          <t>"We already answer everything — communication is our whole brand, and we have a system (GHL form / marketing vendor)." Answer: keep all of it — this only catches the calls that already ring out after 5pm or while your consultants are on roofs, and books them into whatever you use today; hear the demo first and decide after.</t>
        </is>
      </c>
      <c r="AC6" s="8" t="inlineStr">
        <is>
          <t>Hi, this is Sam with Eat 4 Life Marketing — is this Andrew? Full disclosure, this is a cold call, so you're welcome to hang up on me. I saw Blue Peaks' LinkedIn post this week — a roof replacement shouldn't feel like 'radio silence until a dumpster shows up.' I also noticed your site says emergency repairs are business-hours only, and the Littleton homeowner who calls at 7 PM after a hailstorm is dialing the next roofer on Google. We built a demo receptionist from bluepeaksroofing.com that answers after-hours and overflow calls, asks the leak-or-hail and claim questions your consultants ask, and books the free inspection — you can call it and hear it before anyone talks money. Can I take 20 seconds to tell you how it works, and you tell me if it's worth a longer look?</t>
        </is>
      </c>
      <c r="AD6" s="8" t="inlineStr">
        <is>
          <t>Tue-Thu 8:00-8:45 AM MT, right at office open, before project consultants and crews head out to roofs (hours are 8-5 weekdays and the site funnel is callback-based, so the 303 line is most likely picked up by a live person first thing); fallback Tue-Thu 4:00-4:50 PM MT before the 5 PM close. Avoid Mondays (storm-claim backlog) and anything after 5 PM or weekends, which go to voicemail per the published hours.</t>
        </is>
      </c>
      <c r="AE6" s="8" t="inlineStr">
        <is>
          <t>Mon-Fri 8:00 AM-5:00 PM, Sat-Sun closed (Parker Chamber member listing 'Mon-Fri - 8am - 5pm'; leadstal GBP mirror shows the same). Site itself lists no hours; it says emergency repairs are handled 'during normal business hours' and 'We call you back to set a time.'</t>
        </is>
      </c>
      <c r="AF6" s="8" t="inlineStr">
        <is>
          <t>MT</t>
        </is>
      </c>
      <c r="AG6" s="8" t="inlineStr">
        <is>
          <t>No office manager, dispatcher or receptionist is named anywhere (site, reviews, BBB, chamber, LinkedIn). The only number on the site, BBB, JSON-LD and PRs is (303) 808-0687; no answering service, call tracking or AI receptionist detected, and the site says 'We call you back to set a time,' so expect either whoever is at the desk 8-5 MT or voicemail. Ask for 'Andrew' (Andrew J. Ubben, BBB principal/Owner); if they say the owner is 'Mike' (Mike McCoy, named Owner in 2026 paid press releases), take the hand-off and confirm on the call who owns phones/marketing — do not insist on either name. Public side door: Alyssa McGuinnis, Project Consultant, cell (303) 882-2061 (Parker Chamber rep listing) — sales-side, useful to ask 'who handles the phones and marketing' but not to pitch as owner. Project-side staff named in reviews/LinkedIn (Benny Izquierdo, Grant, John Y., Michael G., Kaleb, Diego Martinez) — if one answers, they are on jobs, keep it to 'who handles after-hours calls and marketing?' and get a callback window. Mirror their line 'the claim stays yours — we never file claims for homeowners'; no claim-handling promises. Do not use (970) 410-3778 or (720) 202-1127 (stale). Do not repeat their unverified Team Dave Logan / Quality Business Awards claims.</t>
        </is>
      </c>
      <c r="AH6" s="8" t="inlineStr">
        <is>
          <t>LinkedIn company post ~Oct 10, 2026 (shown as "2d" ago on Oct 12): "A roof replacement shouldn't feel like radio silence until a dumpster shows up." — their own words about communication, 2 days old, safe and positive; URL https://www.linkedin.com/company/blue-peaks-roofing-littleton-co. Backup: July 23, 2026 hail-season inspection expansion release.</t>
        </is>
      </c>
      <c r="AI6" s="8" t="inlineStr">
        <is>
          <t>(1) Site, home + FAQ + contact: "We make emergency repairs during normal business hours." / "Emergency repairs are available during business hours." — no after-hours path in an urgent, hail-corridor niche (https://bluepeaksroofing.com/, /faq/, /contact-us-blue-peaks-roofing/). (2) Contact page: "We call you back to set a time." — callback-dependent funnel with no response-time promise, no scheduler, no chat/text. (3) July 23, 2026 PR: company "has added roof inspection scheduling capacity for the 2026 hail season" — inspection scheduling is the bottleneck they themselves chose to publicize; hail surges mean call spikes a 2-10 person team cannot absorb. (4) Their own LinkedIn post (~Oct 10, 2026): "A roof replacement shouldn't feel like radio silence until a dumpster shows up." — communication is their stated brand promise, which makes an unanswered after-hours call the gap. (5) Reviews praise responsiveness as the differentiator ("I was so tired of roofers 'ghosting' me... One call to Blue Peaks and my problem was a memory" — site reviews page) — no responsiveness complaints found; the pitch is protecting that reputation after 5pm, not fixing missed-call complaints.</t>
        </is>
      </c>
      <c r="AJ6" s="8" t="inlineStr">
        <is>
          <t>July 23, 2026 paid PR: hail-season inspection capacity expansion (81 days before Oct 12, 2026). June 10-11, 2026 paid PR: seven-year anniversary (123 days). Site content refresh: blog posts and About/Learning Hub pages last modified Oct 4-5, 2026 (sitemap). LinkedIn company post ~Oct 10, 2026. New reviews dated Oct 5, 10, 12, 2026 in site widget. Seasonal: Colorado hail-claim season tailing off; fall repair/winter-prep calls starting. Negatives logged: no front-office or production job posts found (LinkedIn Jobs, Craigslist Denver; Indeed blocked); no ownership-change filing seen (SOS open data shows Good Standing; SOS web pages Cloudflare-blocked).</t>
        </is>
      </c>
      <c r="AK6" s="8" t="inlineStr">
        <is>
          <t>(1) Press: paid releases June 10-11, 2026 ("Marks Seven Years") and July 23, 2026 ("Expands Hail Season Roof Inspections Across Denver Metro") with growth/expansion language — https://www.daily-tribune.com/online_features/press_releases/blue-peaks-roofing-marks-seven-years-serving-littleton-homeowners/article_cd6046ec-41c6-57ed-935a-25bb7ee5b74e.html and https://pr.washingtoncitypaper.com/article/Blue-Peaks-Roofing-Expands-Hail-Season-Roof-Inspections-Across-Denver-Metro/6a64ba121044b70002f184c1. (2) Website: service-area expansion pages for Colorado Springs, Fort Collins, Northern Front Range, High Country; blog posts last modified Oct 4-5, 2026; copyright 2026; Synchrony financing; Trustindex review widget; CompanyCam showcase; GoHighLevel LeadConnector form; GTM/gtag; JSON-LD RoofingContractor/Service/City schema — https://bluepeaksroofing.com/ (page source). (3) Social: LinkedIn company post ~2 days before Oct 12, 2026 about client communication ("radio silence until a dumpster shows up") — https://www.linkedin.com/company/blue-peaks-roofing-littleton-co. (4) Reputation posture: PR claims "100 percent response rate on customer reviews"; reviews praise communication ("Grant is an amazing communicator. Easy to get a hold of, quick responses" — aggregator copy of a Google review). Contradicting signals: none found; no hiring posts or paid ads observed (ads not checkable this run).</t>
        </is>
      </c>
      <c r="AL6" s="8" t="inlineStr">
        <is>
          <t>Not found (no owner bio on site, BBB, or public LinkedIn; no military/family-business/prior-career statements published). Only self-stated origin line, attributed to Mike McCoy in the June 2026 release: "When we started in 2019, the goal was straightforward — deliver quality roof work and treat every homeowner's property the way we would treat our own." Site: "We founded Blue Peaks in 2019 to offer an alternative" (to confusing, sales-first roofers).</t>
        </is>
      </c>
      <c r="AM6" s="8" t="inlineStr">
        <is>
          <t>Tone: professional, plain-spoken, anti-salesy, process-transparent. Verbatim voice lines (site About/home): "Our goal isn't to sell you a roof today." / "We start by inspecting and explaining, not selling." / "We replace confusion with clarity." / "The claim stays yours: we never file claims for homeowners." LinkedIn company post (~Oct 10, 2026): "A roof replacement shouldn't feel like radio silence until a dumpster shows up." Bragging points (press releases): 4.9-star/167 Google reviews, 96% five-star, "100 percent response rate on customer reviews", GAF Master Elite, BBB A+ since 2022, field team holds insurance adjuster licenses, growth "through referrals and repeat customers." Pays for PR wire placements and BBB accreditation = values visible credibility. Claimed awards: Quality Business Awards "Best Roofing in Columbine" and Team Dave Logan membership — neither verified (TDL site search returned no listing; QBA search returned empty) — do not repeat them. No hostile or defensive replies observed; no community/charity items found.</t>
        </is>
      </c>
      <c r="AN6" s="8" t="inlineStr">
        <is>
          <t>Owner-operator</t>
        </is>
      </c>
      <c r="AO6" s="8" t="inlineStr">
        <is>
          <t>Not found (logged-out profile probes returned HTTP 999; search budget exhausted). Company page: https://www.linkedin.com/company/blue-peaks-roofing-littleton-co (106 followers, 2-10 employees; only Diego Martinez named publicly)</t>
        </is>
      </c>
      <c r="AP6" s="8" t="inlineStr">
        <is>
          <t>Company accounts only (no owner-personal accounts found): Facebook https://www.facebook.com/111648300504010 (login wall), Instagram https://www.instagram.com/bluepeaks.roofing/, X https://x.com/bluepeaksroofin, YouTube https://www.youtube.com/@BluePeaksRoofing (channel exists; content did not render), LinkedIn company page above</t>
        </is>
      </c>
      <c r="AQ6" s="8" t="inlineStr">
        <is>
          <t>https://bluepeaksroofing.com</t>
        </is>
      </c>
      <c r="AR6" s="8" t="inlineStr">
        <is>
          <t>admin@bluepeaksroofing.com (site footer mailto + homepage JSON-LD "email"; domain MX = Google Workspace)</t>
        </is>
      </c>
      <c r="AS6" s="8" t="inlineStr">
        <is>
          <t>8000 S Lincoln St Ste 201, Littleton, CO 80122 (site footer, JSON-LD, BBB, and both press releases agree)</t>
        </is>
      </c>
      <c r="AT6" s="8" t="inlineStr">
        <is>
          <t>80122</t>
        </is>
      </c>
      <c r="AU6" s="8" t="inlineStr">
        <is>
          <t>Littleton, Englewood, Centennial, Ken Caryl, Highlands Ranch, Lone Tree, Castle Rock, Parker, Castle Pines (JSON-LD areaServed); site location pages also for Denver, Aurora, Lakewood, Arvada, Colorado Springs, Fort Collins, Mountain/Foothills, High Country, Northern Front Range; BBB lists service area as the state of Colorado</t>
        </is>
      </c>
      <c r="AV6" s="8" t="inlineStr">
        <is>
          <t>Not found (GBP not opened directly this run; aggregator pointer only: https://www.leadstal.com/sb/blue-peaks-roofing)</t>
        </is>
      </c>
      <c r="AW6" s="8" t="inlineStr">
        <is>
          <t>4.9 (company-claimed: "4.9 stars across 167 Google reviews" in July 23, 2026 release; "4.91-star average across more than 150 Google reviews, 96 percent five-star" in June 11, 2026 release; aggregator shows 4.90; not verified on GBP)</t>
        </is>
      </c>
      <c r="AX6" s="8" t="inlineStr">
        <is>
          <t>167 Google reviews (company-claimed, July 2026 press release); BBB shows 1 review and 0 complaints in 3 years; Trustindex widget on site shows new reviews dated Oct 5, 10 and 12, 2026</t>
        </is>
      </c>
      <c r="AY6" s="8" t="inlineStr">
        <is>
          <t>Founded 2019 — 7 years. Site About: "We founded Blue Peaks in 2019"; CO SOS formation date 2019-05-26 (entity ID 20191440157, Good Standing); BBB structured data foundingDate 2019-05-26; domain registered 2019-09-26 (RDAP/Tucows); BBB accredited 2022-09-07. No CONFLICT on founding year.</t>
        </is>
      </c>
      <c r="AZ6" s="8" t="inlineStr">
        <is>
          <t>2-10 (LinkedIn company page: "2-10 employees", "View all 6 employees"). Reviews and LinkedIn name 7 staff: Benny Izquierdo, Andrew, Grant, John Y., Michael G., Kaleb, Diego Martinez. Site: "Every job has a dedicated project manager."</t>
        </is>
      </c>
      <c r="BA6" s="8" t="inlineStr">
        <is>
          <t>1 (8000 S Lincoln St Ste 201, Littleton). Caveat: Yellow Pages shows a second listing "Blue Peaks Roofing, Littleton Roofers" at 7345 S Pierce St, Littleton 80128 with (970) 410-3778 — unverified, likely stale; the 303 number is the one on the site, BBB, JSON-LD and both press releases</t>
        </is>
      </c>
      <c r="BB6" s="8" t="inlineStr">
        <is>
          <t>Residential: roof replacement, roof repair, hail damage inspection, impact-resistant shingles, standing seam metal, stone-coated steel, tile, siding, window replacement, gutters. Commercial: TPO, EPDM, PVC, modified bitumen, spray foam and coatings (GenFlex/Elevate/Gaco). Insurance-claim documentation ("every member of the field team holds an insurance adjuster's license" per July 2026 PR; site: "The claim stays yours: we never file claims for homeowners"). Financing via Synchrony. Certs: GAF Master Elite, Atlas PRO+ Silver, TAMKO Pro Platinum, BBB A+.</t>
        </is>
      </c>
      <c r="BC6" s="8" t="inlineStr">
        <is>
          <t>modern (bordering advanced): SSL, WordPress 7.1.2/Elementor, GoHighLevel LeadConnector form embed, Trustindex review widget, CompanyCam photo showcase, Synchrony financing, GTM/gtag, RoofingContractor/Organization/Service JSON-LD; but no online scheduler, no chat, no text-us, no FAQPage schema</t>
        </is>
      </c>
      <c r="BD6" s="8" t="inlineStr">
        <is>
          <t>agency_managed (probable): no footer agency credit, but GHL LeadConnector form, 14 city landing pages with schema, Yoast, paid PR wire placements (June and July 2026) point to a vendor; aggregator lists "primedigitalseo@gmail.com" alongside their email (unverified hint of an SEO vendor). No call tracking (single static number everywhere). No in-house marketer named.</t>
        </is>
      </c>
      <c r="BE6" s="8" t="inlineStr">
        <is>
          <t>established with scaling signals: 7 years (2019), 150-167 claimed reviews, 2-10 staff, service-area expansion pages (Colorado Springs, Fort Collins), July 2026 "expanded inspection scheduling capacity" release; no hiring posts found (LinkedIn Jobs, Craigslist Denver; Indeed blocked)</t>
        </is>
      </c>
      <c r="BF6" s="8" t="inlineStr">
        <is>
          <t>unknown on GBP (not opened directly). Company-claimed "100 percent response rate on customer reviews" (June 2026 PR). Site's Trustindex widget shows 1 owner reply among 9 displayed reviews. No defensive or hostile replies seen anywhere. BBB: 0 complaints in 3 years.</t>
        </is>
      </c>
      <c r="BG6" s="8" t="inlineStr">
        <is>
          <t>Unknown — nothing published. Site home + FAQ: "We make emergency repairs during normal business hours." / FAQ: "Yes. We handle emergency repairs during normal business hours." Contact page: "Emergency repairs are available during business hours." and "We call you back to set a time." No hours listed on the site; no 24/7 claim; no answering service, call center, text-back, or AI receptionist mentioned anywhere in page source. Aggregator-shown GBP hours (unverified): Mon-Fri 8 AM-5 PM, Sat-Sun Closed (https://www.leadstal.com/sb/blue-peaks-roofing).</t>
        </is>
      </c>
      <c r="BH6" s="8" t="inlineStr">
        <is>
          <t>N — "Schedule a Free Inspection" / "book online" routes to a GoHighLevel LeadConnector form (api.leadconnectorhq.com/widget/form/Gu87ae1xKnrWeJ3Gx7yT), not a scheduler; contact page says "We call you back to set a time." No Calendly/Housecall Pro/Jobber/ServiceTitan scripts.</t>
        </is>
      </c>
      <c r="BI6" s="8" t="inlineStr">
        <is>
          <t>None — no chat, AI chat, or text-us widget scripts in source (checked podium, birdeye, tidio, intercom, drift, tawk, livechat, textline, smith.ai, goodcall, dialzara); no "text us" copy</t>
        </is>
      </c>
      <c r="BJ6" s="8" t="inlineStr">
        <is>
          <t>WordPress 7.1.2 + Elementor 4.3.3 + Yoast SEO; GoHighLevel/LeadConnector form embed (msgsndr/leadconnectorhq); Trustindex reviews widget; CompanyCam showcase; Google Tag Manager + gtag; Synchrony consumer financing; Google Workspace mail (MX); registrar Tucows; JSON-LD RoofingContractor/Organization/Service/City/BreadcrumbList (no FAQPage); no CallRail/CTM call tracking; no agency footer credit; no AI receptionist or answering-service vendor</t>
        </is>
      </c>
      <c r="BK6" s="8" t="inlineStr">
        <is>
          <t>Not observed / not checkable this run: Google Ads Transparency Center, Google LSA badge, and Meta Ad Library could not be checked (JS-only pages; web search budget exhausted). Observed spend: paid press-release placements (June 10-11 and July 23, 2026), BBB accreditation, GHL platform, Trustindex, GTM/gtag on site.</t>
        </is>
      </c>
      <c r="BL6" s="8" t="inlineStr">
        <is>
          <t>Not checked — web search budget was exhausted this run, so no ChatGPT/Perplexity/Gemini money-question check could be performed (D4 = NO EVIDENCE). Schema check done: site has RoofingContractor/Organization/Service JSON-LD but no FAQPage schema, so an AI-readable FAQ layer is still open.</t>
        </is>
      </c>
      <c r="BM6" s="8" t="inlineStr">
        <is>
          <t>PASS — Suppression CSV: no match on name or domain (hits were different companies: McCoy Roofing, Omaha NE; Planet Roofing and Solar, Littleton). Chain/franchise: no; single location, 2-10 staff, no franchise/parent language. Website: live, own domain, WordPress, copyright 2026, pages updated Oct 2026. Operating: CO SOS Good Standing; reviews dated Oct 2026; LinkedIn post this week. Inbound channel: phone + form. Not a competitor category. No competing AI receptionist detected. GHL E4L Services dedupe NOT run in this pass (only the suppression CSV) — Rozel to confirm.</t>
        </is>
      </c>
      <c r="BN6" s="8" t="inlineStr">
        <is>
          <t>D1 Decision-maker reach: 8/20 — Full names cited (BBB principal "Mr. Andrew J. Ubben, Owner"; PRs name "Mike McCoy, Owner") but names CONFLICT and only a generic published mailbox (admin@) exists; no owner LinkedIn/direct line; route call-first. | D2 Phone-coverage gap: 15/15 — Phone in header/hero/footer; urgent niche (roofing); site quotes "We make emergency repairs during normal business hours" and "We call you back to set a time"; no 24/7, answering-service or AI mention in source. | D3 Lead-response leak: 5/15 — Exactly 1 signal type (booking/contact friction: no scheduler, no chat/text, no response-time promise); logged nulls: no responsiveness complaints found (reviews praise it), no front-office job posts (LinkedIn Jobs, Craigslist; Indeed blocked), BBB 0 complaints, Yelp blocked (403), GBP reply rate not verifiable. | D4 AI search gap: 0/10 — NO EVIDENCE: no AI platform could be queried (search budget exhausted); schema present (RoofingContractor/Service) but no FAQPage. | D5 ICP fit/ability to pay: 15/15 — Independent, 1 location, named owner(s); core roofing; proxies: 7 yrs (SOS 2019-05-26), 150-167 claimed Google reviews with Oct 2026 inflow, 6-7 named staff / LinkedIn 2-10, roofing ticket $8-15k + Synchrony financing, 9+ city service area. | D6 Timing + spend: 11/15 — Dated trigger 61-180 days (July 23, 2026 hail-season expansion PR, 81 days) plus spend signals in groups (d)/(e) (GTM/gtag, GHL platform, Trustindex, paid PR placements, BBB); groups (a) Google Ads, (b) LSA, (c) Meta not checkable this run. | D7 Attitude/stack: 10/15 scale is 10 — 10/10: net 3+ positives (modern site updated Oct 2026; tech adoption: financing, review tool, CompanyCam, GHL form; LinkedIn post within 60 days; growth posture via PR and service-area expansion), no negatives, no bundled vertical agency credited — flag: GHL LeadConnector form means a GHL account already exists (theirs or a vendor's). TOTAL 64 = QUALIFIED band (55-74). Status: TRUSTED on 6/7 evidenced dimensions, but D1 name CONFLICT is Needs-Review; GHL E4L Services dedupe not run in this pass (suppression CSV only).</t>
        </is>
      </c>
      <c r="BO6" s="8" t="inlineStr">
        <is>
          <t>https://bluepeaksroofing.com/, https://bluepeaksroofing.com/contact-us-blue-peaks-roofing/, https://bluepeaksroofing.com/faq/, https://bluepeaksroofing.com/about/, https://bluepeaksroofing.com/reviews/, https://bluepeaksroofing.com/process/, https://www.bbb.org/us/co/littleton/profile/roofing-contractors/blue-peaks-roofing-1296-90272812, https://www.daily-tribune.com/online_features/press_releases/blue-peaks-roofing-marks-seven-years-serving-littleton-homeowners/article_cd6046ec-41c6-57ed-935a-25bb7ee5b74e.html, https://pr.washingtoncitypaper.com/article/Blue-Peaks-Roofing-Expands-Hail-Season-Roof-Inspections-Across-Denver-Metro/6a64ba121044b70002f184c1, https://data.colorado.gov/resource/4ykn-tg5h.json?$where=upper(entityname)%20like%20%27%25BLUE%20PEAKS%20ROOF%25%27, https://www.linkedin.com/company/blue-peaks-roofing-littleton-co, https://www.leadstal.com/sb/blue-peaks-roofing, https://bluepeaksroofing.com/page-sitemap.xml, https://bluepeaksroofing.com/post-sitemap.xml, https://rdap.org/domain/bluepeaksroofing.com, https://dns.google/resolve?name=bluepeaksroofing.com&amp;type=MX, https://www.yellowpages.com/search?search_terms=Blue+Peaks+Roofing&amp;geo_location_terms=Littleton%2C+CO, https://teamdavelogan.com/?s=blue+peaks, https://www.linkedin.com/jobs/search?keywords=%22Blue%20Peaks%20Roofing%22&amp;location=Colorado, https://denver.craigslist.org/search/jjj?query=%22blue+peaks+roofing%22, https://www.facebook.com/111648300504010, https://www.instagram.com/bluepeaks.roofing/, https://www.youtube.com/@BluePeaksRoofing</t>
        </is>
      </c>
      <c r="BP6" s="8" t="inlineStr">
        <is>
          <t>Medium</t>
        </is>
      </c>
      <c r="BQ6" s="8" t="inlineStr">
        <is>
          <t>Verifier: Owner = Andrew J. Ubben per BBB principal, corroborated by his USPTO 'I'd Roof That' mark whose logo sits in the Blue Peaks Parker Chamber gallery. 'Mike McCoy, Owner' appears only on the paid PR wire, whose media-contact name was 'Michael Rayburn' in 2024 — likely the PR vendor's contact, not a second owner. Parker Chamber lists Alyssa McGuinnis, Project Consultant, cell (303) 882-2061 (public). Hours Mon-Fri 8-5, closed weekends (Parker Chamber + leadstal). BuildZoom: 305 permits, 93/76/48 in 2023/24/25. 1) OWNER NAME CONFLICT (Needs-Review): BBB principal = Mr. Andrew J. Ubben, Owner; both 2026 paid press releases = Mike McCoy, Owner (media contact at the company phone); a site review names "Andrew and his team." Likely co-owners but unconfirmed — have Sam ask for "Andrew or Mike" and confirm who owns phones/marketing before any named email; email to admin@ should be gatekeeper-friendly. 2) Legal anchor: "Blue Peaks Roofing", Colorado domestic LLC, entity ID 20191440157, Good Standing, formed 2019-05-26, registered agent Colorado Registered Agents Inc (officers not in the open-data record; SOS web pages were Cloudflare-blocked). 3) Stack flag: the site embeds a GoHighLevel LeadConnector form, so a GHL account already exists (theirs or a vendor's) and may already run speed-to-lead/text-back — ask on the call; no call tracking, no chat, no scheduler. An aggregator lists "primedigitalseo@gmail.com" next to their email (unverified SEO-vendor hint). 4) Phone: use +1 303-808-0687 (site, BBB, JSON-LD, PRs agree); a Yellow Pages listing shows (970) 410-3778 / 7345 S Pierce St — unverified, likely stale; the scout also saw an Indian Hills address. 5) Do not repeat their claimed Team Dave Logan membership or Quality Business Awards win — neither verified. 6) Insurance language: they stress "The claim stays yours: we never file claims for homeowners" — mirror that; no claim-handling promises in the demo script. 7) Press-release pages carried embedded quoting instructions — treated as data, ignored. 8) Best call window: trades 7:00-8:30am or 4:00-5:30pm Mountain Time. 9) Not checked this run (search budget exhausted): GBP hours/reply rate, Google Ads/LSA/Meta ads, AI spot-check, Wayback redesign, GHL E4L Services dedupe and demo-pool check — Rozel to run ghl-contacts.js by domain/phone before load. 10) Reviews name project-side staff (Benny Izquierdo, Grant, John Y., Michael G., Kaleb, Diego Martinez) — no office manager/gatekeeper name found.</t>
        </is>
      </c>
      <c r="BR6" s="10" t="inlineStr"/>
      <c r="BS6" s="10" t="inlineStr"/>
      <c r="BT6" s="10" t="inlineStr"/>
    </row>
    <row r="7" ht="120" customHeight="1">
      <c r="A7" s="8" t="inlineStr">
        <is>
          <t>20261012-06</t>
        </is>
      </c>
      <c r="B7" s="8" t="inlineStr">
        <is>
          <t>2026-10-12</t>
        </is>
      </c>
      <c r="C7" s="8" t="n">
        <v>1</v>
      </c>
      <c r="D7" s="10" t="inlineStr"/>
      <c r="E7" s="10" t="inlineStr">
        <is>
          <t>New</t>
        </is>
      </c>
      <c r="F7" s="8" t="n">
        <v>66</v>
      </c>
      <c r="G7" s="8">
        <f>IF(F7="","",IF(F7&gt;=80,"A — send today",IF(F7&gt;=60,"B — worth a touch",IF(F7&gt;=40,"C — hold","D — reject"))))</f>
        <v/>
      </c>
      <c r="H7" s="8" t="inlineStr">
        <is>
          <t>Shockley Electric LLC</t>
        </is>
      </c>
      <c r="I7" s="8" t="inlineStr">
        <is>
          <t>Christian</t>
        </is>
      </c>
      <c r="J7" s="8" t="inlineStr">
        <is>
          <t>Shockley</t>
        </is>
      </c>
      <c r="K7" s="8" t="inlineStr">
        <is>
          <t>Not found</t>
        </is>
      </c>
      <c r="L7" s="8" t="inlineStr">
        <is>
          <t>christian@shockleyelectric.com</t>
        </is>
      </c>
      <c r="M7" s="8" t="inlineStr">
        <is>
          <t>Personal (named)</t>
        </is>
      </c>
      <c r="N7" s="8" t="inlineStr">
        <is>
          <t>Confirmed</t>
        </is>
      </c>
      <c r="O7" s="8" t="inlineStr">
        <is>
          <t>Not found (only the main line +1 770-630-6858 is published; with a 2-person crew it may be his cell — manual dial only)</t>
        </is>
      </c>
      <c r="P7" s="8" t="inlineStr">
        <is>
          <t>+1 770-630-6858 (main line; same number on site tel: links, BBB, Nextdoor, Thumbtack — CONFIRMED. 2-person shop, so this may ring to the owner's cell: manual human dial only, no SMS/AI outbound.)</t>
        </is>
      </c>
      <c r="Q7" s="8" t="inlineStr">
        <is>
          <t>Electrical (residential + light commercial: panel/service upgrades, wiring/rewiring, repairs, home safety inspections, surge protection, lighting upgrades)</t>
        </is>
      </c>
      <c r="R7" s="8" t="inlineStr">
        <is>
          <t>core</t>
        </is>
      </c>
      <c r="S7" s="8" t="inlineStr">
        <is>
          <t>Marietta</t>
        </is>
      </c>
      <c r="T7" s="8" t="inlineStr">
        <is>
          <t>GA</t>
        </is>
      </c>
      <c r="U7" s="8" t="inlineStr">
        <is>
          <t>A direct owner email on the domain means Sebastian can email today; the Expertise 'Best Electricians in Roswell 2026' list refreshed Oct 8 gives a fresh, safe compliment; and the inbound side is visibly unattended (blog, Thumbtack and Nextdoor all dormant) heading into the fall lighting/heating-load season when panel calls pick up.</t>
        </is>
      </c>
      <c r="V7" s="8" t="inlineStr">
        <is>
          <t>Overwhelmed Owner-Operator (primary, medium confidence); Marketing-Burned Skeptic (secondary)</t>
        </is>
      </c>
      <c r="W7" s="8" t="inlineStr">
        <is>
          <t>Voice AI live demo built from shockleyelectric.com (safety-triage branch for sparking/burning-smell calls, panel-upgrade quote capture, books the free estimate) + missed-call text-back. Add the free GEO audit as the second touch once the spot-check is run (no schema on site).</t>
        </is>
      </c>
      <c r="X7" s="8" t="inlineStr">
        <is>
          <t>Recover (note budget sensitivity: 2-employee shop — if Recover feels heavy on the Game Plan Call, the à la carte solo voice agent is the fallback; never quote prices in email)</t>
        </is>
      </c>
      <c r="Y7" s="8" t="inlineStr">
        <is>
          <t>Who answers Shockley Electric after 5:30?</t>
        </is>
      </c>
      <c r="Z7" s="8" t="inlineStr">
        <is>
          <t>Your Nextdoor page says it plainly — "The Electrician Marietta GA Calls First" — and with a two-man crew and the phones closing at 5:30, I'd bet a few of those first calls land in voicemail while you're elbow-deep in a panel.</t>
        </is>
      </c>
      <c r="AA7" s="8" t="inlineStr">
        <is>
          <t>"Christian, it's Sam with Eat 4 Life Marketing. We built a demo receptionist from shockleyelectric.com you can call right now — it picks up when you're on a ladder or it's after 5:30, asks whether something's sparking or smells hot, and books the free estimate for a panel upgrade. Nothing to buy to hear it; if you don't like it, hang up on it." Qualify: "Who picks up right now when you're mid-job — you, voicemail, or nobody?"</t>
        </is>
      </c>
      <c r="AB7" s="8" t="inlineStr">
        <is>
          <t>"I answer my own phone — it's just me and one guy, I don't need a receptionist." Answer: "Keep answering. This only catches the calls that already hit voicemail — after 5:30, weekends, when you're in a panel — and books them; go-live is one call-forwarding rule and rollback is one dial code."</t>
        </is>
      </c>
      <c r="AC7" s="8" t="inlineStr">
        <is>
          <t>"Christian? Sam with Eat 4 Life Marketing - straight up, this is a cold call, you can hang up on me. Your site says 'call us now to schedule,' and Nextdoor shows the line closing at 5:30 and on weekends. With a two-man crew I'd bet some panel-upgrade calls hit voicemail while you're in a box - and that homeowner just calls the next electrician on Google. We built a demo receptionist from shockleyelectric.com you can call before you pay a dollar - it picks up when you can't, asks if something's sparking, and books the free estimate. Got 20 seconds for me to explain, then you tell me if it's worth a longer look?"</t>
        </is>
      </c>
      <c r="AD7" s="8" t="inlineStr">
        <is>
          <t>Tue-Thu 8:00-8:50 AM ET, just before the posted 9:00 open and before he is on a ladder; fallback Tue-Thu 4:30-5:30 PM ET as jobs wrap and before the line 'closes' at 5:30. Reason: Thumbtack shows '2 employees' and reviews describe Christian personally doing 4-hour jobs, so mid-day (9:30-4:00) the only published number is in a panel and rings to voicemail. Skip Mondays (solo scheduler's catch-up day) and weekends (Closed).</t>
        </is>
      </c>
      <c r="AE7" s="8" t="inlineStr">
        <is>
          <t>Mon-Fri 9:00 AM-5:30 PM, Sat-Sun Closed (Nextdoor listing). Thumbtack shows Mon-Fri 9:00 AM-5:00 PM, Sat/Sun Closed. Website lists no hours and no 24/7 claim; Google Business Profile not accessible this session.</t>
        </is>
      </c>
      <c r="AF7" s="8" t="inlineStr">
        <is>
          <t>ET</t>
        </is>
      </c>
      <c r="AG7" s="8" t="inlineStr">
        <is>
          <t>No gatekeeper. Two-employee shop (Thumbtack: 'Hired 60 times, 2 employees, 12 years in business'); no office manager, dispatcher, answering service or AI receptionist found on the site, BBB, Nextdoor or Thumbtack, and the single published number 770-630-6858 appears on every page - almost certainly Christian's own cell, so expect him or voicemail. Reviews name only Christian as the person doing the work. A second person replies for the business on Nextdoor (initials 'T. J.', Hiram, GA) - possibly the second employee; if someone else answers, ask for Christian by first name ('Is Christian around? It's Sam'). Ignore the contact-page fax +1 800 889 9898 (placeholder). On voicemail leave a 10-second message naming the demo line, no pitch, and log 'who answered' on first dial. Manual human dial only - no SMS or AI outbound to this number since it may be a personal cell. Tone: terse, anti-upsell ('we do not upsell') - no hype, no 'AI' lead-in, do not quote a Google review count.</t>
        </is>
      </c>
      <c r="AH7" s="8" t="inlineStr">
        <is>
          <t>The Nextdoor 'Our story' line 'The Electrician Marietta GA Calls First' paired with the posted hours (Mon–Fri 9–5:30, closed weekends) — a neutral, verifiable observation about his phone process that leads straight to the demo (https://nextdoor.com/pages/shockley-electric-marietta-ga/). Backup compliment: Expertise.com 'Best Electricians in Roswell, GA 2026' list updated Oct 8, 2026 (https://www.expertise.com/ga/roswell/electricians); safest brag to mirror: lifetime labor guarantee and 'we do not upsell'.</t>
        </is>
      </c>
      <c r="AI7" s="8" t="inlineStr">
        <is>
          <t>(1) Phone is the only way in: 'Call us now to schedule your service or free consultation.' — no booking, chat or text (https://shockleyelectric.com/). (2) Hours gap vs. urgency: 'Monday 9:00 AM–5:30 PM ... Saturday Closed, Sunday Closed' (Nextdoor) while the site promises 'From installation to emergency repairs, our team will give you peace of mind'. (3) No office staff: 'Hired 60 times, 2 employees, 12 years in business' (Thumbtack) — the electrician is the receptionist. (4) Contact form promises nothing: Gravity Forms with no response-time or auto-confirmation (verified in source). (5) Inbound side is unattended: Nextdoor page unclaimed ('Is this your business? Claim page'); Thumbtack reviews stop in 2015 and Top Pro badges stop in 2017; blog stops Feb 28, 2025; Thumbtack 'responseTime: null'. (6) High-ticket inquiries ride on that phone: panel/service upgrades, rewiring, commercial service upgrades (electrical $400–3k ticket row). Null logged: no 'never called back / voicemail' reviews found on Thumbtack, BBB (0 complaints) or Nextdoor; Google reviews not accessible; no hiring posts found (Indeed returned 401).</t>
        </is>
      </c>
      <c r="AJ7" s="8" t="inlineStr">
        <is>
          <t>(1) 'Best Electricians in Roswell, GA 2026' listing on Expertise.com, page last updated Oct 8, 2026 (https://www.expertise.com/ga/roswell/electricians) — a dated 'best of' within 60 days (directory listing; they also carried the 2021 badge). (2) GA SOS 'Certified Copies' filing 12 Jan 2026 and Annual Registration 14 Jan 2025 — entity current and active (https://opencorporates.com/companies/us_ga/14106630). (3) Nextdoor 'Neighborhood Favorite in 2023' (older). (4) Seasonal: fall/holiday lighting and heating-season panel load for electricians — vertical calendar only, no business-specific evidence. No hiring, new location, redesign (home page last modified 2021-08-13; service pages 2023-06-29) or ownership change found.</t>
        </is>
      </c>
      <c r="AK7" s="8" t="inlineStr">
        <is>
          <t>Overwhelmed Owner-Operator — 4 signals, 3 source categories: (1) Website: phone is the only CTA ('Call Shockley Electric Now' x2; 'Call us now to schedule your service or free consultation'), no booking, chat or text widget in page source, first-person 'SEE MY WORK ON PORCH' (https://shockleyelectric.com/). (2) Directory: Thumbtack 'Overview: Hired 60 times, 2 employees, 12 years in business' and first-person intro 'helping my customers get an honest service' (https://www.thumbtack.com/ga/smyrna/electricians/electrical-instalation-repair). (3) Hours: Nextdoor 'Monday 9:00 AM–5:30 PM ... Friday 9:00 AM–5:30 PM, Saturday Closed, Sunday Closed' while the site advertises 'From installation to emergency repairs' (https://nextdoor.com/pages/shockley-electric-marietta-ga/). (4) Reviews: owner personally performs jobs — 'Christian showed up on time and worked to completion in about 4 hours' (Barbara M., Aug 10 2015, Thumbtack). Contradicting signal (keeps confidence at medium): no reachability complaints found; old Thumbtack reviews praise responsiveness ('he was very responsive, efficient', Sharon M., Oct 24 2014) and Thumbtack badges 'responsiveness'. Marketing-Burned Skeptic (secondary) — orphaned 2016 PPC landing page still live (https://shockleyelectric.com/electrical-panel-upgrade-ppc-lp/), agency-authored blog that stops abruptly Feb 28 2025 (WP author 'Green Mellen', https://shockleyelectric.com/wp-json/wp/v2/users), and 'we do not upsell' / 'we will never oversell you' no-gimmicks copy. Not Defensive: no hostile replies or no-solicitation notices found.</t>
        </is>
      </c>
      <c r="AL7" s="8" t="inlineStr">
        <is>
          <t>Not found beyond what the business publishes: ~11–12 years in business (Thumbtack '12 years in business', BBB founding 2015-01-01, Thumbtack reviews from Oct 2014); 'unrestricted electrical license with the State of Georgia', 'Electrical Contractor - EN216228' (self-published on site; GA license board lookup is JS-gated and was not checked); LLC lapsed and was reinstated Sep 2021 per SOS filings. Founding mission (verbatim, /about): 'Shockley Electric was founded with the goal of giving homeowners and business owners a better customer experience when it comes to electrical repairs and service.' No prior career, military, trade-school or family-business statements found. No podcasts or interviews found.</t>
        </is>
      </c>
      <c r="AM7" s="8" t="inlineStr">
        <is>
          <t>Terse, plain-spoken, anti-upsell, proud of reviews and the lifetime labor guarantee. Verbatim: 'helping my customers get an honest service. we do not upsell at Shockley electric' (Thumbtack intro, lowercase, unpolished — self-written); 'We will never oversell you and offer a lifetime warranty on all labor' (https://shockleyelectric.com/electrical-panel-upgrade-ppc-lp/); 'Providing Honest Electrical Solutions to the Marietta and Metro Atlanta Area' and 'While others... we only provide solutions for the problems at hand' (/about); Nextdoor 'Our story': 'The Electrician Marietta GA Calls First'. Brag points: 5-star Google record, lifetime labor warranty, unrestricted GA license, no commission-driven upselling. Recognition: Nextdoor Neighborhood Favorite 2023; Thumbtack Top Pro 2016 &amp; 2017; Expertise.com Best Electricians in Roswell (2021 badge on site; listed again on the 2026 page updated Oct 8, 2026); BBB A+, 0 complaints. Review-reply tone: unknown (no replies visible on Thumbtack; Google not accessible). Customers consistently describe him as on-time, responsive, honest, and willing to flag another contractor's unsafe work. Niche playbook read fits: technical, pragmatic, allergic to hype — will call the demo and try to break it.</t>
        </is>
      </c>
      <c r="AN7" s="8" t="inlineStr">
        <is>
          <t>Owner-operator</t>
        </is>
      </c>
      <c r="AO7" s="8" t="inlineStr">
        <is>
          <t>Not found (web search budget was exhausted this session, so no LinkedIn X-ray could be run; https://www.linkedin.com/company/shockley-electric returns 404)</t>
        </is>
      </c>
      <c r="AP7" s="8" t="inlineStr">
        <is>
          <t>Facebook: https://www.facebook.com/shockleyelectric/ (linked from site; login-walled, posts not reviewable). Thumbtack pro profile 'Christian Shockley': https://www.thumbtack.com/ga/smyrna/electricians/electrical-instalation-repair (Top Pro 2016, 2017; reviews stop 2015). Porch pro badge linked from site: https://porch.com/marietta-ga/electricians/shockley-electric-llc/pp (redirects to pro.porch.com/how-it-works, profile not viewable). Nextdoor business page (UNCLAIMED — 'Is this your business? Claim page'): https://nextdoor.com/pages/shockley-electric-marietta-ga/. No Instagram, TikTok, YouTube or X links on the site.</t>
        </is>
      </c>
      <c r="AQ7" s="8" t="inlineStr">
        <is>
          <t>https://shockleyelectric.com/</t>
        </is>
      </c>
      <c r="AR7" s="8" t="inlineStr">
        <is>
          <t>None found — the only email published anywhere is christian@shockleyelectric.com (site header/footer on every page, Nextdoor listing). No info@/office@.</t>
        </is>
      </c>
      <c r="AS7" s="8" t="inlineStr">
        <is>
          <t>Home-based, do not use in outreach. Site /contacts/ page lists mailing address 1712 Farmview Trace, Acworth, GA 30101; BBB 3441 Valley View Dr, Marietta, GA 30068; Nextdoor 2584 Fieldstone Path NE, Marietta, GA 30062; GA SOS registered address 23 Tea Rose Ln, Dallas, GA 30132</t>
        </is>
      </c>
      <c r="AT7" s="8" t="inlineStr">
        <is>
          <t>30068 (BBB business address of record; Nextdoor listing shows 30062 — home-based service business, addresses differ across directories)</t>
        </is>
      </c>
      <c r="AU7" s="8" t="inlineStr">
        <is>
          <t>'Marietta and Metro Atlanta area' (site); Expertise.com lists them for Roswell; Nextdoor recommendations come from Hiram, Dallas and Douglasville GA (west metro). Hours per Nextdoor: Mon–Fri 9:00 AM–5:30 PM, Sat/Sun Closed (https://nextdoor.com/pages/shockley-electric-marietta-ga/); Thumbtack shows Sun Closed, Mon 9:00 am–5:00 pm.</t>
        </is>
      </c>
      <c r="AV7" s="8" t="inlineStr">
        <is>
          <t>Not found (GBP not accessible this session; the scout's Lantern mirror https://lantern.llc/b/shockley-electric-marietta now returns 404)</t>
        </is>
      </c>
      <c r="AW7" s="8" t="inlineStr">
        <is>
          <t>Not verified (Google Maps and Lantern mirror inaccessible; owner's own Thumbtack intro claims 'top rated electricians on Google with ... 180 5 star reviews'; Thumbtack 5.0 on 84 reviews; BBB A+)</t>
        </is>
      </c>
      <c r="AX7" s="8" t="inlineStr">
        <is>
          <t>Google: unverified. Thumbtack: 84 reviews, Hired 60 times (confirmed in page HTML). Do not quote a Google number on the call.</t>
        </is>
      </c>
      <c r="AY7" s="8" t="inlineStr">
        <is>
          <t>Est. 2014–2015. BBB schema foundingDate 2015-01-01; Thumbtack '12 years in business' with customer reviews from Oct 2014; site says 'over 10 years'. GA SOS: Shockley Electric LLC #14106630, Domestic LLC, status Active/Compliance; three Reinstatement filings 30 Sep 2021 (entity had lapsed and was reinstated), Annual Registration 14 Jan 2025, 'Certified Copies' filing 12 Jan 2026 (https://opencorporates.com/companies/us_ga/14106630). Formation date and officer names are login-gated on OpenCorporates; GA eCorp returned a JS challenge.</t>
        </is>
      </c>
      <c r="AZ7" s="8" t="inlineStr">
        <is>
          <t>2 employees (Thumbtack 'Overview: Hired 60 times, 2 employees, 12 years in business'). Reviews describe Christian personally doing the work ('Christian showed up on time and worked to completion in about 4 hours'). No office staff visible anywhere.</t>
        </is>
      </c>
      <c r="BA7" s="8" t="inlineStr">
        <is>
          <t>1 (single Marietta-based service business; one GA entity, one phone, one site; no locations/franchise page; trademark 'SHOCKLEY ELECTRIC' held by the LLC per OpenCorporates)</t>
        </is>
      </c>
      <c r="BB7" s="8" t="inlineStr">
        <is>
          <t>Residential: Home Safety &amp; Electrical Inspections, Panel Upgrades, Repairs &amp; Maintenance, Wiring/Rewiring. Commercial: Service Upgrades, Repairs &amp; Maintenance, Lighting Upgrades, Surge Protection. 'We guarantee our labor for life, and all parts are warrantied for three years.' EV charger and generator install are NOT listed on the site (upsell talking point for the demo). Thumbtack profile additionally lists Solar Panel Installation and Repair, Circuit Breaker Panel/Fuse Box install and repair.</t>
        </is>
      </c>
      <c r="BC7" s="8" t="inlineStr">
        <is>
          <t>basic — SSL, WordPress 7.1.3 + Divi, Gravity Forms contact form, Google Tag Manager/gtag, per-service 'Thank You' conversion pages (built June 2023); NO online booking, chat, text-us, financing widget, review tool, call tracking, or JSON-LD schema in page source; Nextdoor page unclaimed; GBP messaging status unknown.</t>
        </is>
      </c>
      <c r="BD7" s="8" t="inlineStr">
        <is>
          <t>agency_managed (light, lapsed) — a Marietta web agency account ('Green Mellen', WP author id 6) built the site and wrote monthly blog posts Oct 2024–Feb 2025, then nothing; PPC landing page from 2016 still live; Thumbtack Pro dormant since 2017; no Instagram/TikTok/YouTube; ads not confirmable this session.</t>
        </is>
      </c>
      <c r="BE7" s="8" t="inlineStr">
        <is>
          <t>established, leaning plateau — 11–12 years in business, 2 employees, no hiring found, blog and Thumbtack dormant, Nextdoor page unclaimed, but reviews and recognitions still accruing (Nextdoor recs Jul 2024, Expertise 2026 listing).</t>
        </is>
      </c>
      <c r="BF7" s="8" t="inlineStr">
        <is>
          <t>unknown — Google Business Profile not accessible this session; no owner replies visible on the 84 Thumbtack reviews; BBB has 0 reviews.</t>
        </is>
      </c>
      <c r="BG7" s="8" t="inlineStr">
        <is>
          <t>Unknown / not stated. Hours: Mon–Fri 9:00 AM–5:30 PM, Sat–Sun Closed (Nextdoor; Thumbtack confirms Sun Closed). Site mentions 'emergency repairs' but makes no 24/7 claim, lists no after-hours number, answering service, or AI receptionist, and page source has no answering/AI vendor scripts. With a 2-person crew and phone-only scheduling, after-hours and on-the-job calls most likely reach voicemail (not verified — Sam records 'who answered' on first dial).</t>
        </is>
      </c>
      <c r="BH7" s="8" t="inlineStr">
        <is>
          <t>N — no scheduler of any kind; 'Call us now to schedule your service or free consultation.' Only alternative is a Gravity Forms contact form (Name/Phone/Email/Message) with no response-time promise (https://shockleyelectric.com/contacts/).</t>
        </is>
      </c>
      <c r="BI7" s="8" t="inlineStr">
        <is>
          <t>N — no chat, text-us, or messaging widget in page source (checked for tidio/intercom/drift/tawk/podium/birdeye/textline/weave/leadconnector: none).</t>
        </is>
      </c>
      <c r="BJ7" s="8" t="inlineStr">
        <is>
          <t>WordPress 7.1.3 (meta generator) + Divi theme; Gravity Forms (gform_1 on /contacts/); Google Tag Manager + gtag; WP author account 'Green Mellen' — appears to be GreenMellen Media, a Marietta web agency (not listed on the agency's own site search; relationship inferred from the site's public author list only); Porch pro badge; Thumbtack Pro profile; Microsoft 365 mail (MX: shockleyelectric-com.mail.protection.outlook.com). NOT detected: CallRail/call tracking, ServiceTitan/Housecall Pro/Jobber, Podium/Birdeye, chat, booking, financing, FAQPage/LocalBusiness JSON-LD, agency footer credit. Odd item: contact page lists a 'FAX: +1 800 88...' number that looks like a placeholder.</t>
        </is>
      </c>
      <c r="BK7" s="8" t="inlineStr">
        <is>
          <t>Not observed / not checkable this session: Google Ads Transparency Center returned HTTP 429, Meta Ad Library HTTP 403, LSA/'Google Guaranteed' and Sponsored-result checks need web search (budget exhausted). Paid-search HISTORY is evident: live landing page '/electrical-panel-upgrade-ppc-lp/' ('Get a free quote for your Electrical Panel Upgrade', created Nov 2016) and per-service Thank-You conversion pages created Jun 2023, plus GTM. Thumbtack Pro and Porch are the only paid-directory signals (both dormant).</t>
        </is>
      </c>
      <c r="BL7" s="8" t="inlineStr">
        <is>
          <t>not checked — the AI spot-check ('best electrician in Marietta GA', 'electrician that answers the phone Marietta, GA') could not be run because the session's web search budget was exhausted. Site has NO FAQPage/LocalBusiness JSON-LD (verified in source), so the free GEO audit should be run before send. D4 scored 0 / NO EVIDENCE per the rubric.</t>
        </is>
      </c>
      <c r="BM7" s="8" t="inlineStr">
        <is>
          <t>PASS — Chain/franchise: no (independent GA Domestic LLC #14106630, single location, trademark 'SHOCKLEY ELECTRIC' held by the LLC; no Mr. Electric/Mister Sparky affiliation). Website: live, own domain, HTTP 200, WordPress. Live US business: SOS status Active/Compliance, Annual Registration Jan 2025, filing Jan 2026, blog post Feb 2025, Nextdoor recs Jul 2024, Expertise listing Oct 2026. Inbound channel: phone + contact form. Not a competitor/non-buyer. No competing AI receptionist or GEO vendor detected. Suppression list: no match on name or domain. GHL dedupe: not run (no tool access) — pending.</t>
        </is>
      </c>
      <c r="BN7" s="8" t="inlineStr">
        <is>
          <t>D1 Decision-maker reachable: 14/20 — Full name 'Christian Shockley' cited on three sources (Thumbtack pro profile; BBB schema 'Mr. Christian Shockley'; business's own WP author 'Jon Shockley' + review 'Christian (Jon)'), personal on-domain email christian@shockleyelectric.com published on every page of the site (MX present), but no page states a title and no LinkedIn/second phone found — 20 withheld. | D2 Phone-coverage gap: 15/15 — phone-first ('Call Shockley Electric Now', header tel: link, no booking) AND cited gaps: electrical is an inherently urgent niche; hours 'Mon–Fri 9:00 AM–5:30 PM, Sat/Sun Closed' (Nextdoor) while site advertises 'emergency repairs'; no 24/7, answering-service or AI-receptionist mention anywhere incl. page source. | D3 Lead-response leak: 5/15 — exactly one signal type: booking/contact friction (no scheduler AND no chat/text AND form with no response promise, verified in source). Nulls logged: no responsiveness complaints on Thumbtack/BBB/Nextdoor (Google inaccessible); no front-office job posts found (Indeed blocked); reply rate unobservable; Thumbtack reviews from 2014–15 actually praise responsiveness. | D4 AI search gap: 0/10 — NO EVIDENCE: AI spot-check could not be run (search budget exhausted). Site has no JSON-LD schema; run the GEO audit before send. | D5 ICP fit / ability to pay: 15/15 — (a) independent single-location LLC, surname in name, trademark held; (b) electrical = core niche; (c) 3 proxies: 11–12 years in business (BBB 2015, Thumbtack '12 years'), 100+ reviews across platforms (84 Thumbtack + ≥90 Google per on-site quote / 180 per owner text), electrical $400–3k ticket row with panel/service upgrades as the lead service. Caveat: 2 employees — budget-sensitive. | D6 Buying signals: 11/15 — dated 'best of' trigger within 60 days (Expertise.com Roswell 2026 list, updated Oct 8, 2026) plus spend group (d) (agency WP account, GTM, PPC landing page) and (e) (Thumbtack Pro/Porch); paid-media groups (a)(b)(c) could not be checked (429/403/search budget) — not confirmed. | D7 Owner attitude: 6/10 — net 2 positives: modern maintained site (SSL, © 2026, service pages rebuilt 2023) and growth/recognition posture (Expertise 2026, Nextdoor Favorite 2023); no negatives observed; review-reply behavior unknown; local web agency (not a bundled vertical agency) — no incumbent conflict. | TOTAL 66 = QUALIFIED band (55–74). Status: TRUSTED pending GHL dedupe — 6 of 7 dimensions carry evidence, D1 positive, D2 direct (quoted hours string), D5 evidenced; only D4 is NO EVIDENCE. Suppression list: no match.</t>
        </is>
      </c>
      <c r="BO7" s="8" t="inlineStr">
        <is>
          <t>https://shockleyelectric.com/, https://shockleyelectric.com/about/, https://shockleyelectric.com/contacts/, https://www.thumbtack.com/ga/smyrna/electricians/electrical-instalation-repair, https://nextdoor.com/pages/shockley-electric-marietta-ga/, https://www.bbb.org/us/ga/marietta/profile/electrical-contractors/shockley-electric-llc-0443-27586853, https://opencorporates.com/companies/us_ga/14106630, https://shockleyelectric.com/wp-json/wp/v2/users, https://shockleyelectric.com/author/jon-shockley/, https://shockleyelectric.com/wp-json/wp/v2/posts?per_page=5&amp;_fields=id,date,modified,link,title,author, https://www.expertise.com/ga/roswell/electricians, https://shockleyelectric.com/electrical-panel-upgrade-ppc-lp/, https://shockleyelectric.com/electrical-service-panel-upgrades/, https://shockleyelectric.com/testimonials/, https://www.facebook.com/shockleyelectric/, https://porch.com/marietta-ga/electricians/shockley-electric-llc/pp, https://dns.google/resolve?name=shockleyelectric.com&amp;type=MX</t>
        </is>
      </c>
      <c r="BP7" s="8" t="inlineStr">
        <is>
          <t>Medium</t>
        </is>
      </c>
      <c r="BQ7" s="8" t="inlineStr">
        <is>
          <t>Title detail: Not found (no public page states a title; BBB lists 'Mr. Christian Shockley' as the contact with no title; Thumbtack profile 'Christian Shockley' uses first-person owner copy; GA SOS officers login-gated). (1) GHL 'E4L Services' dedupe (ghl-contacts.js by domain/phone/name+city) was NOT run in this session — run before load. (2) Title is not formally cited anywhere; GA SOS officer names are login-gated on OpenCorporates and ecorp.sos.ga.gov served a JS challenge. Address him as 'Christian' (email handle, Thumbtack name, reviews); his legal first name may be Jon (WP author 'Jon Shockley', review 'Christian (Jon)'). Don't write 'Owner' in copy until SOS confirms. (3) License EN216228 is self-published; GA license board lookup not checked. (4) Possible second person: a Nextdoor user from Hiram, GA posts in first person for the business ('Give us a call! Shockley Electric, it's something we do all the time') — initials only, unverified; Sam should ask 'who else helps with the phones?' (5) Web vendor: the site's public author list shows a 'Green Mellen' account (GreenMellen Media, Marietta) — don't lead with a site rebuild; GEO/schema is the wedge there. (6) Google review count conflicts (90 / 180 / 477) — verify on Maps before quoting. (7) Home-based: BBB, Nextdoor and SOS addresses all differ — never reference an address. (8) Best call window: 7:00–8:30 AM or 4:00–5:30 PM ET, Mon–Fri (hours 9–5:30). Main line may be his cell — manual dial only, no SMS/AI outbound. (9) Demo build notes: include EV charger and generator inquiries even though the site doesn't list them (ask on the call if he does them), route 'sparking/burning smell' to urgent, capture panel-upgrade estimate requests, mention the lifetime labor guarantee in the greeting. (10) Tone: terse, anti-upsell ('we do not upsell', 'we will never oversell you') — keep the email under 90 words, no hype, no 'AI' in the subject. (11) Facebook, Google reviews, LinkedIn, Meta Ad Library, Ads Transparency, LSA and the AI spot-check were all inaccessible this session; re-run D4 before SEND TODAY promotion.</t>
        </is>
      </c>
      <c r="BR7" s="10" t="inlineStr"/>
      <c r="BS7" s="10" t="inlineStr"/>
      <c r="BT7" s="10" t="inlineStr"/>
    </row>
    <row r="8" ht="120" customHeight="1">
      <c r="A8" s="8" t="inlineStr">
        <is>
          <t>20261012-07</t>
        </is>
      </c>
      <c r="B8" s="8" t="inlineStr">
        <is>
          <t>2026-10-12</t>
        </is>
      </c>
      <c r="C8" s="8" t="n">
        <v>1</v>
      </c>
      <c r="D8" s="10" t="inlineStr"/>
      <c r="E8" s="10" t="inlineStr">
        <is>
          <t>New</t>
        </is>
      </c>
      <c r="F8" s="8" t="n">
        <v>66</v>
      </c>
      <c r="G8" s="8">
        <f>IF(F8="","",IF(F8&gt;=80,"A — send today",IF(F8&gt;=60,"B — worth a touch",IF(F8&gt;=40,"C — hold","D — reject"))))</f>
        <v/>
      </c>
      <c r="H8" s="8" t="inlineStr">
        <is>
          <t>Light It Up Electric, Inc.</t>
        </is>
      </c>
      <c r="I8" s="8" t="inlineStr">
        <is>
          <t>Todd</t>
        </is>
      </c>
      <c r="J8" s="8" t="inlineStr">
        <is>
          <t>Guernsey</t>
        </is>
      </c>
      <c r="K8" s="8" t="inlineStr">
        <is>
          <t>Owner / Texas Master Electrician</t>
        </is>
      </c>
      <c r="L8" s="8" t="inlineStr">
        <is>
          <t>Info@LightItUpElectric.net</t>
        </is>
      </c>
      <c r="M8" s="8" t="inlineStr">
        <is>
          <t>Generic (info@/office@)</t>
        </is>
      </c>
      <c r="N8" s="8" t="inlineStr">
        <is>
          <t>Confirmed</t>
        </is>
      </c>
      <c r="O8" s="8" t="inlineStr">
        <is>
          <t>Not found (only the main line 469-261-1503 appears on the site, BBB, JSON-LD and the TDLR record)</t>
        </is>
      </c>
      <c r="P8" s="8" t="inlineStr">
        <is>
          <t>+1 469-261-1503 (site header/footer tel: link, JSON-LD, BBB, TDLR license record all match)</t>
        </is>
      </c>
      <c r="Q8" s="8" t="inlineStr">
        <is>
          <t>Electrical (residential + commercial electrician; panel repair/upgrade and EV charger specialty; membership safety plans)</t>
        </is>
      </c>
      <c r="R8" s="8" t="inlineStr">
        <is>
          <t>core</t>
        </is>
      </c>
      <c r="S8" s="8" t="inlineStr">
        <is>
          <t>Frisco</t>
        </is>
      </c>
      <c r="T8" s="8" t="inlineStr">
        <is>
          <t>TX</t>
        </is>
      </c>
      <c r="U8" s="8" t="inlineStr">
        <is>
          <t>They are visibly investing in getting found right now — Google Ads conversion tracking and GTM on the site, ten blog posts in four weeks, a new membership program with an EV+ tier, a 16-city service area — but the only ways in are a 9-to-5 phone line and a form answered "as soon as possible." Every dollar of that effort that rings after 5 PM is unprotected, and Q4 holiday-lighting, panel and EV-charger inquiries are the high-ticket calls they least want to miss.</t>
        </is>
      </c>
      <c r="V8" s="8" t="inlineStr">
        <is>
          <t>Unclear (leans Growth-Minded Operator; Family-Legacy Pride Brand secondary)</t>
        </is>
      </c>
      <c r="W8" s="8" t="inlineStr">
        <is>
          <t>Voice AI live demo — an after-hours/overflow receptionist trained on lightitupelectric.net that answers the calls reception misses after 5 PM and on weekends, triages 'sparking/burning smell' urgency, books the estimate, and can mention the Advantage Plan; pair with missed-call text-back and sub-60-second form reply. Ask #2: free AI visibility audit for 'EV charger installer / electrician near Frisco, TX'.</t>
        </is>
      </c>
      <c r="X8" s="8" t="inlineStr">
        <is>
          <t>Recover</t>
        </is>
      </c>
      <c r="Y8" s="8" t="inlineStr">
        <is>
          <t>Todd — the EV+ plan, and your after-5 calls</t>
        </is>
      </c>
      <c r="Z8" s="8" t="inlineStr">
        <is>
          <t>Saw the Advantage EV+ plan and the "Frankenstein says: check the panel" post — most Frisco electricians don't publish twice a week, and it shows.</t>
        </is>
      </c>
      <c r="AA8" s="8" t="inlineStr">
        <is>
          <t>Coverage gap, not growth: the site tells people "if you need us right now, call us" and promises same-day response, but reception closes at 5 and all weekend, so a warm-outlet, tripped-panel or EV-charger call at 7 PM hits voicemail and that homeowner dials the next electrician — the exact "shop around" problem their own memberships page says they lose to. Proof-first: E4L builds a demo line trained on their own site they can call before paying; go-live is one conditional call-forwarding rule for missed/busy calls, rollback is one dial code, and a human still answers everything they already pick up. Secondary: every after-hours caller the receptionist books is a natural Advantage Plan prospect.</t>
        </is>
      </c>
      <c r="AB8" s="8" t="inlineStr">
        <is>
          <t>"We're a small family shop and reception already handles the phones — we get back to everyone the same day." Answer: it only touches calls that already go to voicemail (after 5, weekends, line busy); nothing changes about who answers during the day; hear the demo first, no commitment. Expect pragmatic skepticism of marketing vendors (niche read: allergic to hype, will try to break the demo) — lead with the demo number, not features, and never say "AI" first.</t>
        </is>
      </c>
      <c r="AC8" s="8" t="inlineStr">
        <is>
          <t>Hi Todd — Sam with Eat 4 Life Marketing. Full disclosure, this is a cold call, so feel free to hang up on me. I was on lightitupelectric.net and the Advantage EV+ plan caught my eye. Here's why I'm calling: your site says "if you need us right now, call us," but reception closes at 5 and all weekend, so a 7 PM panel or EV-charger call hits voicemail and that homeowner calls the next electrician on Google. We built a receptionist trained on your own website that picks those up and books the estimate — you can call it before you pay a dollar. Can I take 20 seconds to explain how it works, and you tell me if it's worth a longer look?</t>
        </is>
      </c>
      <c r="AD8" s="8" t="inlineStr">
        <is>
          <t>Tue–Thu 8:05–8:45 AM CT, with 4:00–4:45 PM CT as the fallback. Reason: the site posts 'Reception Hours' starting at 8:00 (contact page/footer) or 9:00 (appointment page), so a staffed office line opens then and crews are least likely to be mid-job early; after 5:00 PM and weekends the line is closed, so never call then. Nothing public says the owner answers the main line, so expect reception and ask for Todd by name.</t>
        </is>
      </c>
      <c r="AE8" s="8" t="inlineStr">
        <is>
          <t>Mon–Fri 8:00 AM–5:00 PM, Sat–Sun Closed (site footer, FAQ 'We are open Monday through Friday 8:00 am to 5:00 pm', and OpeningHoursSpecification JSON-LD). 'Reception Hours' shown as Mon–Fri 9:00 am–5:00 pm on /schedule-an-appointment but 8:00 am–5:00 pm on /contact — minor conflict. No 24/7 or emergency hours anywhere; live GBP hours not fetched.</t>
        </is>
      </c>
      <c r="AF8" s="8" t="inlineStr">
        <is>
          <t>America/Chicago (Central Time)</t>
        </is>
      </c>
      <c r="AG8" s="8" t="inlineStr">
        <is>
          <t>The site posts "Reception Hours," so expect a receptionist/office person on 469-261-1503 during 8–5 CT (name not published; BBB lists no customer contact). Natasha Guernsey is named on the company site as the author of every blog post (role not stated) and is the likely office/marketing contact and a possible champion — if she answers, reference the Halloween panel posts. Ask for "Todd Guernsey, the master electrician" by name; no owner cell or direct line is published anywhere public. If routed to email, Info@LightItUpElectric.net is on Google Workspace (good deliverability); LightItUpElect@aol.com is the address the appointment page shows under "Email us." Do not mention family relationships; treat Natasha only as a named company contact.</t>
        </is>
      </c>
      <c r="AH8" s="8" t="inlineStr">
        <is>
          <t>The Advantage EV+ membership plan plus the twice-weekly Halloween-themed blog run (Oct 6 'No Tricks — Just a Safer Home', Oct 8 'Frankenstein Says: Check the Panel!'), both dated within the last 7 days on https://www.lightitupelectric.net/blog and /memberships — recent, specific, positive, and about their business. Fallback: 'Voted Best Electrician in Frisco' banner (undated) and 26 years family-owned.</t>
        </is>
      </c>
      <c r="AI8" s="8" t="inlineStr">
        <is>
          <t>(1) Promise vs coverage gap: 'Give Us A Call Or Fill Out The Form And One Of our Electricians Will Get Back To You The Same Day' and 'If you need us right now call us at 469-261-1503' (https://www.lightitupelectric.net/) alongside 'Monday to Friday : 08:00 AM - 05:00 PM / Saturday to Sunday : Closed' (footer + JSON-LD) and 'Reception Hours Mon - Fri 9:00 am - 5:00 pm Sat - Sun Closed' (https://www.lightitupelectric.net/schedule-an-appointment). (2) Form friction: confirmation text 'Thank you for contacting us. We will get back to you as soon as possible.' — no turnaround, no booking, no chat/text. (3) Urgency language without after-hours path: home-page FAQ section at https://www.lightitupelectric.net/ (not the /faqs page, which has no such line): 'Flickering lights or warm outlets often indicate wiring issues or overloaded circuits, which can be hazardous. Stop using the affected outlets and call us immediately for a thorough inspection and safe repairs.' (4) Their own memberships page admits the shop-around problem they lose to: 'when something goes wrong, the first instinct is to shop around' and 'Our members don't shop around' (https://www.lightitupelectric.net/memberships) — speed-to-lead on first contact is exactly where the 5-quote caller is won or lost. (5) Review-based reachability complaints: not checked (Google/Yelp/Angi blocked); job posts: none found (Indeed blocked, no /careers in sitemap).</t>
        </is>
      </c>
      <c r="AJ8" s="8" t="inlineStr">
        <is>
          <t>Active content push: 10 blog posts between Sept 11 and Oct 8, 2026 (twice weekly), all 'By Natasha Guernsey', Halloween-themed Oct 6/8 posts promoting the Advantage Plan (https://www.lightitupelectric.net/blog). Membership program live with an EV+ tier ($297/yr) aimed at Tesla/EV owners (https://www.lightitupelectric.net/memberships). 'Voted Best Electrician in Frisco, Texas' banner (undated, awarding body not found). TX SOS change of registered agent/office filed 2025-06-02 (OpenCorporates) — older than 180 days. Domain record last changed 2026-08-26 (RDAP). No dated trigger within 60 days of the rubric's listed types; no job posts found; no new location.</t>
        </is>
      </c>
      <c r="AK8" s="8" t="inlineStr">
        <is>
          <t>Growth-Minded signals (all website category, observed 2026-10-13): twice-weekly blog posts Sept 11–Oct 8, 2026 by Natasha Guernsey (https://www.lightitupelectric.net/blog); new recurring-revenue membership tiers incl. an EV+ plan (https://www.lightitupelectric.net/memberships); Google Ads conversion tag AW-17446627494 + GTM + Crazy Egg + Elfsight reviews widget in source; © 2026 site with LocalBusiness/Service schema; 'Voted Best Electrician in Frisco' banner. Family-Legacy signals: 'Light It Up Electric, Inc. has been family owned and operated since 2000' (https://www.lightitupelectric.net/about), 'Family-Owned Since Day One', 'Treat Each Customer Like They Are The Only One'. Why Unclear: the evidence rule needs 3 signals across 2 source categories; every signal here is from the website — Google/Yelp/Angi review replies, Facebook posts, LinkedIn content, hiring and ad libraries were all blocked this session, so no second category and no contradicting signal could be checked. No Defensive/anti-marketing/anti-AI signal seen anywhere in the fetched pages.</t>
        </is>
      </c>
      <c r="AL8" s="8" t="inlineStr">
        <is>
          <t>Self-stated on the site: 'In order to obtain the Texas Master Electrician License, Todd Guernsey had to undergo and pass a series of electrical classes, seminars, and exams. To maintain the Master Electrician License, Todd has to complete continuing education classes every year' (https://www.lightitupelectric.net/about); 'Keeping up with the changes in technology, Todd Guernsey of Light It Up Electric, Inc. stays up to date with all the latest innovations ... and puts his team's knowledge and experience to work for you!' (https://www.lightitupelectric.net/residential-electrical-services). Government records: TDLR Master Electrician ME 10479 (Todd D Guernsey) and Electrical Contractor TECL 22799 (Light It Up Electric Inc, phone 469-261-1503); TX SOS registered agent. 'Family owned and operated since 2000' (about page); TX corporation since 2005. Prior career, military service, podcasts/interviews: Not found (web search unavailable this session).</t>
        </is>
      </c>
      <c r="AM8" s="8" t="inlineStr">
        <is>
          <t>Tone: warm_personal with a safety-first, anti-gimmick, pragmatic streak. Verbatim site lines: 'Upgrade Your Electric, Upgrade Your Life.' (home); 'We Guarantee 100% Satisfaction &amp; We Strive To Treat Each Customer Like They Are The Only One.' (home); 'Two plans. Zero gimmicks.' and 'Low-ball bids cut corners on safety' and 'Our members don't shop around.' (memberships); 'Don't trust your electrical repairs to just anyone.' (about). Blog voice (Natasha Guernsey, Oct 8, 2026): 'Frankenstein might LOVE electricity… Your electrical panel should be a little less exciting. 😂' and 'Our Halloween crew says: Keep the monsters outside.' — humorous, emoji-heavy, dog mascot. Bragging points: Master Electrician License, 'Voted Best Electrician in Frisco, Texas', 'Family-Owned Since Day One', 'Same-Day Response', free estimates, '$50 OFF your first service call' ($250 minimum). Niche playbook read applies: technical, pragmatic, allergic to hype — will try to break the demo.</t>
        </is>
      </c>
      <c r="AN8" s="8" t="inlineStr">
        <is>
          <t>Owner-operator</t>
        </is>
      </c>
      <c r="AO8" s="8" t="inlineStr">
        <is>
          <t>https://www.linkedin.com/in/todd-guernsey-69175b7/ (hard-coded in the site's own page source on / and /schedule-an-appointment — authoritative link; profile content not viewable this session, LinkedIn returned HTTP 999)</t>
        </is>
      </c>
      <c r="AP8" s="8" t="inlineStr">
        <is>
          <t>Company pages linked from site source: https://facebook.com/LightItUpElectricInc/ (login wall this session), https://instagram.com/LightItUpElectricInc/ (429), https://twitter.com/LightItUpFrisco and https://twitter.com/LightItUpElectricInc/ (not fetched), https://www.yelp.com/biz/light-it-up-electric-frisco (403). No personal owner socials published. Second named person on the business: Natasha Guernsey, author of every company blog post Sept–Oct 2026 (role not stated on the site).</t>
        </is>
      </c>
      <c r="AQ8" s="8" t="inlineStr">
        <is>
          <t>https://www.lightitupelectric.net</t>
        </is>
      </c>
      <c r="AR8" s="8" t="inlineStr">
        <is>
          <t>Info@LightItUpElectric.net (site footer + services section; domain MX = Google Workspace, confirmed 2026-10-13); LightItUpElect@aol.com (free-mail, shown on /schedule-an-appointment 'Email us')</t>
        </is>
      </c>
      <c r="AS8" s="8" t="inlineStr">
        <is>
          <t>6136 Frisco Square Blvd, Suite 400, Frisco, TX 75034 (site footer + LocalBusiness JSON-LD + BBB)</t>
        </is>
      </c>
      <c r="AT8" s="8" t="inlineStr">
        <is>
          <t>75034</t>
        </is>
      </c>
      <c r="AU8" s="8" t="inlineStr">
        <is>
          <t>Frisco, Plano, Little Elm, Addison, Allen, Carrollton, Cross Roads, Dallas, Farmers Branch, Highland Village, McKinney, Oak Point, Prosper, Richardson, The Colony 'and all other surrounding cities' (FAQ page); Sept–Oct 2026 blog posts also name Lewisville and Celina; dedicated city pages for Plano, McKinney, Allen</t>
        </is>
      </c>
      <c r="AV8" s="8" t="inlineStr">
        <is>
          <t>https://www.google.com/maps/place/?q=place_id:ChIJETCcNME5TIYRDnv3J0CaBhY (place ID from the site's own Elfsight Google Reviews config; the site's hasMap short link resolves to the same pin, 0x864c39c1349c3011:0x16069a4027f77b0e)</t>
        </is>
      </c>
      <c r="AW8" s="8" t="inlineStr">
        <is>
          <t>4.9 (expertise.com Frisco electricians listing, fetched 2026-10-13, shows Google 4.9; site JSON-LD aggregateRating 4.9 — live GBP not fetchable this session, Maps returned a JS shell)</t>
        </is>
      </c>
      <c r="AX8" s="8" t="inlineStr">
        <is>
          <t>Google 74 per expertise.com (2026-10-13); site JSON-LD claims reviewCount 252 (likely cross-platform/unverified — CONFLICT); Angi 4.9 (44) and Facebook 4.9 (43) per expertise.com; BBB 0 reviews, 0 complaints in 3 yrs</t>
        </is>
      </c>
      <c r="AY8" s="8" t="inlineStr">
        <is>
          <t>'Family owned and operated since 2000' (site /about; BBB foundingDate 2000-01-01). TX domestic for-profit corporation no. 0800484606, trading name dated 2005-04-26, status 'In Existence' (OpenCorporates); domain registered 2006-08-25 (Verisign RDAP). CONFLICT &gt;2 yrs — hypothesis: sole prop 2000 → incorporated 2005. TDLR Electrical Contractor TECL 22799 active, expires 01/03/2027.</t>
        </is>
      </c>
      <c r="AZ8" s="8" t="inlineStr">
        <is>
          <t>Not found (BBB employee count not shown; LinkedIn/Indeed blocked). Site says 'our Master Electricians' / 'our electricians' / 'his team' — more than one licensed electrician implied, no headcount published.</t>
        </is>
      </c>
      <c r="BA8" s="8" t="inlineStr">
        <is>
          <t>1 (single Frisco office; one Google pin; TX SOS and TDLR show Denton County mailing addresses only — not a second location)</t>
        </is>
      </c>
      <c r="BB8" s="8" t="inlineStr">
        <is>
          <t>Electrical panel repair/upgrade and meter base changes; EV charger installation (hardwired/NEMA 14-50); breaker box installation; generators; whole-house surge protection; GFCI/AFCI and code corrections; landscape/outdoor/security lighting; home theatre, spa/hot tub/pool hookups; new construction and remodel wiring; commercial tenant finish-out and equipment hookups; 18-point annual safety-inspection membership (Advantage $179/yr, Advantage EV+ $297/yr with annual EV charger re-torque)</t>
        </is>
      </c>
      <c r="BC8" s="8" t="inlineStr">
        <is>
          <t>basic+ (no online booking, chat, or text-us; but SSL, © 2026 Duda site, LocalBusiness/Service/AggregateRating schema, GTM, Google Ads conversion tag, Crazy Egg, Elfsight Google Reviews widget, Google Workspace mail). ai_stance: unknown (no AI statement on site; robots.txt blocks only legacy crawlers, no GPTBot/ClaudeBot rules).</t>
        </is>
      </c>
      <c r="BD8" s="8" t="inlineStr">
        <is>
          <t>diy / in-house: company blog written in-house by Natasha Guernsey twice a week; Duda white-label site with no agency credit; Google Ads tag + GTM + Crazy Egg suggest some tracked paid marketing; Elfsight reviews widget; no call tracking, no landing pages seen. Site has leftover template text ('Describe the benefits and advantages of this service.', a 'Partners' page showing only 'Button'), consistent with owner/DIY upkeep.</t>
        </is>
      </c>
      <c r="BE8" s="8" t="inlineStr">
        <is>
          <t>established (since 2000 / TX corp 2005; 74+ Google reviews; 16-city service area) with a current push for recurring revenue (membership plans, EV+ tier, twice-weekly content). Hiring: unknown (Indeed blocked, no careers page).</t>
        </is>
      </c>
      <c r="BF8" s="8" t="inlineStr">
        <is>
          <t>unknown — Google reviews (Maps JS shell), Yelp (403), Angi (403), Facebook (login wall) not readable this session; BBB shows 0 reviews / 0 complaints. The site's Elfsight widget is configured to display owner replies (reviewDisplayOwnerReply=true, 5-star filter), which suggests replies exist, but none were observed.</t>
        </is>
      </c>
      <c r="BG8" s="8" t="inlineStr">
        <is>
          <t>hours_only. Site/JSON-LD: Mon–Fri 08:00–17:00, 'Saturday to Sunday : Closed'; no 24/7, emergency-line, answering-service, call-center or AI-receptionist text anywhere in the fetched source of /, /contact, /schedule-an-appointment, /faqs, /memberships. Yet the site promises 'Same-Day Response' (memberships page), 'Will Get Back To You The Same Day' (home), 'If you need us right now call us at 469-261-1503' (form confirmation), and the FAQ tells warm-outlet callers to 'call us immediately'. After 5 PM and all weekend the only path is voicemail or a form answered 'as soon as possible'.</t>
        </is>
      </c>
      <c r="BH8" s="8" t="inlineStr">
        <is>
          <t>None. 'Schedule An Appointment' / 'Book Appointment' buttons lead to the site's own Duda contact form (name/phone/email/zip/project type); no scheduling vendor script (no Housecall Pro, Jobber, ServiceTitan, Calendly, Acuity) in page source (checked 2026-10-13).</t>
        </is>
      </c>
      <c r="BI8" s="8" t="inlineStr">
        <is>
          <t>None detected — no chat, text-us, Podium/Birdeye/Tidio/Intercom/tawk scripts in source; phone + form only.</t>
        </is>
      </c>
      <c r="BJ8" s="8" t="inlineStr">
        <is>
          <t>Duda website builder (white-label CDN dwhitelabel.com / cdn-website.com, no agency credit in footer); Google Tag Manager GTM-KVJXBG7; Google Ads conversion tag gtag AW-17446627494; Crazy Egg (script.crazyegg.com); Elfsight Google Reviews widget (app 54bab4af-…, Google place ChIJETCcNME5TIYRDnv3J0CaBhY, filtered to 5-star, owner replies displayed); Google Workspace email (MX aspmx.l.google.com). Not present: CallRail/CTM, Meta pixel, booking, chat, financing, answering-service or AI-voice vendors.</t>
        </is>
      </c>
      <c r="BK8" s="8" t="inlineStr">
        <is>
          <t>Not verified. A Google Ads conversion tag (AW-17446627494) is live in the page source, which indicates a Google Ads account with conversion tracking, but Google Ads Transparency Center rendered as a JS shell and Meta Ad Library returned 403 this session; no Sponsored result, LSA badge or landing-page gclid/UTM could be observed.</t>
        </is>
      </c>
      <c r="BL8" s="8" t="inlineStr">
        <is>
          <t>not checked — no AI platform (ChatGPT/Perplexity/Gemini) was reachable this session, so D4 is NO EVIDENCE. Site-side: LocalBusiness + Service + AggregateRating + OpeningHoursSpecification JSON-LD present; FAQ content on home/FAQ pages but no FAQPage schema. Geo line: 'Named in 0 of 0 AI answers (none checked)'. Recommend run_geo_audit = yes for 'EV charger installer Frisco, TX' / 'emergency electrician near Frisco, TX'. Competitors on the expertise.com Frisco list: Benchmark Electrical Services, Red Wire Electric, Champion Electrical Services, CTX Plumbing &amp; Electrical, Joe Funk Electric, Reynolds Electric Heating &amp; Air, J Rod Electrical, Alcorn's Power House Electric.</t>
        </is>
      </c>
      <c r="BM8" s="8" t="inlineStr">
        <is>
          <t>PASS (2026-10-13). Not a chain/franchise: single location, no franchise language, TX domestic for-profit corporation 'In Existence' with Todd D Guernsey as registered agent, no parent entity. Working own-domain site (HTTP 200, SSL, © 2026). Live US business: TDLR Electrical Contractor TECL 22799 active to 01/03/2027, Master Electrician ME 10479 active to 04/08/2027, SOS PIRs filed through 2024, blog post dated 2026-10-08. Inbound channels: phone + contact form. Not a competitor/non-buyer category. No AI receptionist or answering service in source. Not in suppression.csv or seen.csv (grep 'light it up' / 'lightitupelectric' / 'guernsey' = 0 hits). GHL 'E4L Services' sub-account dedupe not run from this subagent — orchestrator should run ghl-contacts.js by domain/phone before loading.</t>
        </is>
      </c>
      <c r="BN8" s="8" t="inlineStr">
        <is>
          <t>D1 Decision-maker reach: 14/20 — Todd Guernsey, Owner, cited from BBB principal contacts (https://www.bbb.org/us/tx/frisco/profile/electrician/light-it-up-electric-inc-0875-90268187), site About/Residential pages, TDLR Master Electrician ME 10479 'GUERNSEY, TODD D' (data.texas.gov TDLR dataset) and TX SOS registered agent (https://opencorporates.com/companies/us_tx/0800484606); channel = owner LinkedIn linked from site source + staffed main line (posted reception hours) + generic Info@ mailbox with MX; no personal email or direct line → 14. | D2 Phone/after-hours gap: 15/15 — number in header bar, hero strip and footer ('Call 469-261-1503'), contact page 'First time customers, call us at ... or submit a form'; hours string 'Monday to Friday : 08:00 AM - 05:00 PM / Saturday to Sunday : Closed' vs 'Same-Day Response', 'If you need us right now call us at 469-261-1503' and FAQ 'call us immediately'; electrical is on the inherently-urgent list; zero mention of 24/7, answering service or AI receptionist in source. | D3 Lead-response leak: 5/15 — exactly one signal type, (5) friction: no scheduling vendor (buttons → Duda form), no chat/text, form confirmation 'We will get back to you as soon as possible.' with no turnaround; nulls logged: Google reviews (Maps JS shell), Yelp 403, Angi 403, Indeed 403, BBB 0 reviews/0 complaints, no /careers in sitemap, Facebook login wall. | D4 AI search gap: 0/10 — NO EVIDENCE (no AI platform reachable; LocalBusiness/Service schema present, FAQ content without FAQPage schema; 'Named in 0 of 0 AI answers (none checked)'). | D5 ICP fit/ability to pay: 15/15 — (a) family-owned, 1 location, named owner, TX for-profit corp 'In Existence'; (b) electrical = core niche; (c) proxies: since 2000 (site/BBB) with corp 2005 and domain 2006; 16-city service area (FAQ); high-ticket lines (meter base/panel changes, EV chargers, generators, new construction) plus paid membership plans; 74 Google reviews per expertise.com. | D6 Buying signals: 7/15 — spend group (d) only: GTM-KVJXBG7, Google Ads conversion tag AW-17446627494, Crazy Egg, Elfsight (view-source 2026-10-13); (a) Ads Transparency JS-only, (b) LSA not checkable, (c) Meta Ad Library 403, (e) none; no dated trigger of a listed type within 180 days (blog cadence = soft; 'Voted Best' undated; SOS agent change 2025-06-02). | D7 Owner attitude/stack: 10/10 — positives (b) modern © 2026 site with schema, (c) Elfsight review widget + GTM/Ads tracking, (d) company-voiced blog posts Sept 11–Oct 8, 2026, (e) growth posture (membership tiers, award banner); no negatives seen, no bundled vertical agency or AI-receptionist vendor; (a) review replies unknown. | TOTAL 66 → QUALIFIED. Status TRUSTED: hard-disqualifier pass recorded PASS (GHL sub-account dedupe not run from this subagent); 6 of 7 dimensions carry evidence; D1 positive; D2 direct (quoted hours string); D5 cited. Not SEND TODAY: D4 spot-check not run and total &lt; 75. demo_build = yes (phone-first, D2 = 15, site scrapable); run_geo_audit = yes if slots allow.</t>
        </is>
      </c>
      <c r="BO8" s="8" t="inlineStr">
        <is>
          <t>https://www.lightitupelectric.net/, https://www.lightitupelectric.net/schedule-an-appointment, https://www.lightitupelectric.net/about, https://www.lightitupelectric.net/memberships, https://www.lightitupelectric.net/blog, https://www.lightitupelectric.net/frankenstein-says-check-the-panel, https://www.lightitupelectric.net/contact, https://www.lightitupelectric.net/faqs, https://www.lightitupelectric.net/residential-electrical-services, https://www.lightitupelectric.net/special-offers, https://www.bbb.org/us/tx/frisco/profile/electrician/light-it-up-electric-inc-0875-90268187, https://data.texas.gov/resource/7358-krk7.json?$where=license_number='22799' (TDLR TECL 22799 Light It Up Electric Inc), https://data.texas.gov/resource/7358-krk7.json?$where=upper(owner_name) like '%25GUERNSEY%25' (TDLR ME 10479 Todd D Guernsey), https://opencorporates.com/companies/us_tx/0800484606, https://www.expertise.com/tx/frisco/electricians, https://www.linkedin.com/in/todd-guernsey-69175b7/, https://rdap.verisign.com/net/v1/domain/lightitupelectric.net, https://www.google.com/maps/place/?q=place_id:ChIJETCcNME5TIYRDnv3J0CaBhY, https://www.lightitupelectric.net/robots.txt</t>
        </is>
      </c>
      <c r="BP8" s="8" t="inlineStr">
        <is>
          <t>Medium</t>
        </is>
      </c>
      <c r="BQ8" s="8" t="inlineStr">
        <is>
          <t>Title detail: Owner / Texas Master Electrician (site /residential-electrical-services: 'Todd Guernsey is a certified Master Electricians and owner of Light It Up Electric'; BBB 'Principal contacts: Todd Guernsey, Owner'; TDLR Master Electrician license ME 10479 'GUERNSEY, TODD D', Denton County, expires 04/08/2027; TX SOS registered agent 'Todd D Guernsey' for Light It Up Electric Inc.). 1) Route: QUALIFIED (66, TRUSTED). D1 = 14 via LinkedIn + generic mailbox, so the email goes to Info@ (gatekeeper-friendly copy) with a same-week Sam call; demo_build = yes (phone-first, site scrapable). 2) D4 was NOT run — no AI platform was reachable this session; a GEO spot-check for 'EV charger installer Frisco, TX' could add up to 6 points and gives ask #2. 3) Review-reply behavior, Facebook/LinkedIn content, hiring, and ad activity are all unverified (Google Maps JS shell, Yelp/Angi/Indeed 403, Facebook login wall, LinkedIn 999, Meta Ad Library 403, Ads Transparency JS-only, Wayback unavailable); the Google Ads conversion tag is the only spend proof. 4) Conflicts to be aware of: founded 'since 2000' vs TX corp trading-name date 2005-04-26 vs domain 2006 (likely sole prop → Inc.); review count 252 (site schema) vs Google 74 (expertise.com); reception hours 8–5 (contact page) vs 9–5 (appointment page). 5) Natasha Guernsey writes the blog twice a week in a warm, emoji-heavy voice — she is the content/marketing voice and a plausible champion; Todd is the technical owner (master license holder). Do not reference family ties. 6) Niche read: technical and allergic to hype — lead with the demo number and the after-5 gap, keep 'AI' out of the subject line, no feature lists. 7) Natural tie-in: the receptionist can offer the Advantage Plan ($179/yr) to after-hours callers — frame as protecting the membership push they are already making. 8) The 'Voted Best Electrician in Frisco' award is undated and the awarding body was not found; use it softly or not at all.</t>
        </is>
      </c>
      <c r="BR8" s="10" t="inlineStr"/>
      <c r="BS8" s="10" t="inlineStr"/>
      <c r="BT8" s="10" t="inlineStr"/>
    </row>
    <row r="9" ht="120" customHeight="1">
      <c r="A9" s="8" t="inlineStr">
        <is>
          <t>20261012-08</t>
        </is>
      </c>
      <c r="B9" s="8" t="inlineStr">
        <is>
          <t>2026-10-12</t>
        </is>
      </c>
      <c r="C9" s="8" t="n">
        <v>1</v>
      </c>
      <c r="D9" s="10" t="inlineStr"/>
      <c r="E9" s="10" t="inlineStr">
        <is>
          <t>New</t>
        </is>
      </c>
      <c r="F9" s="8" t="n">
        <v>65</v>
      </c>
      <c r="G9" s="8">
        <f>IF(F9="","",IF(F9&gt;=80,"A — send today",IF(F9&gt;=60,"B — worth a touch",IF(F9&gt;=40,"C — hold","D — reject"))))</f>
        <v/>
      </c>
      <c r="H9" s="8" t="inlineStr">
        <is>
          <t>By The Book Plumbing LLC</t>
        </is>
      </c>
      <c r="I9" s="8" t="inlineStr">
        <is>
          <t>James</t>
        </is>
      </c>
      <c r="J9" s="8" t="inlineStr">
        <is>
          <t>Smith</t>
        </is>
      </c>
      <c r="K9" s="8" t="inlineStr">
        <is>
          <t>Owner / Co-founder</t>
        </is>
      </c>
      <c r="L9" s="8" t="inlineStr">
        <is>
          <t>james@bythebookplumbing.com</t>
        </is>
      </c>
      <c r="M9" s="8" t="inlineStr">
        <is>
          <t>Personal (named)</t>
        </is>
      </c>
      <c r="N9" s="8" t="inlineStr">
        <is>
          <t>Confirmed</t>
        </is>
      </c>
      <c r="O9" s="8" t="inlineStr">
        <is>
          <t>Not found (only the main line 281-907-2092 is published; the TSBPE RMP record lists no phone)</t>
        </is>
      </c>
      <c r="P9" s="8" t="inlineStr">
        <is>
          <t>+1 281-907-2092</t>
        </is>
      </c>
      <c r="Q9" s="8" t="inlineStr">
        <is>
          <t>Plumbing (residential service; water heater / tankless / water treatment focus)</t>
        </is>
      </c>
      <c r="R9" s="8" t="inlineStr">
        <is>
          <t>core</t>
        </is>
      </c>
      <c r="S9" s="8" t="inlineStr">
        <is>
          <t>Spring</t>
        </is>
      </c>
      <c r="T9" s="8" t="inlineStr">
        <is>
          <t>TX</t>
        </is>
      </c>
      <c r="U9" s="8" t="inlineStr">
        <is>
          <t>Houston's water-heater and freeze season starts in weeks, the site is actively pushing tankless installs with a tax-credit banner, and July reviews show James booking a week out and referring same-day work away; the demo line turns those overflow and after-hours calls into booked or referred jobs instead of lost ones.</t>
        </is>
      </c>
      <c r="V9" s="8" t="inlineStr">
        <is>
          <t>Overwhelmed Owner-Operator (medium confidence; secondary Family-Legacy Pride cues)</t>
        </is>
      </c>
      <c r="W9" s="8" t="inlineStr">
        <is>
          <t>Voice AI live demo built from bythebookplumbing.com with the emergency/after-hours angle, paired with missed-call text-back (door-opener = demo number; D2 = 15 and the site is scrapable, but throttle the scraper - the site WAF began returning 403 after roughly 15 rapid fetches). Run the GEO audit before send since D4 is unchecked.</t>
        </is>
      </c>
      <c r="X9" s="8" t="inlineStr">
        <is>
          <t>Recover</t>
        </is>
      </c>
      <c r="Y9" s="8" t="inlineStr">
        <is>
          <t>Who answers By The Book on Saturdays?</t>
        </is>
      </c>
      <c r="Z9" s="8" t="inlineStr">
        <is>
          <t>Your Google reviews, 671 of them at a flat 5.0, keep naming James personally, which makes me think James is also the one answering the phone from under a water heater.</t>
        </is>
      </c>
      <c r="AA9" s="8" t="inlineStr">
        <is>
          <t>James, your Google listing says you offer emergency plumbing, but hours stop at 4 and weekends show closed, so a Saturday-night water-heater leak in Spring probably lands in voicemail and that homeowner calls the next plumber on Google. We built a receptionist from your own website that picks up those calls, gets the name, address and what's leaking, books it or texts them back in under a minute, and you can hear it answer as By The Book before you pay anything. Going live is one call-forwarding rule for missed calls, and one dial code turns it off.</t>
        </is>
      </c>
      <c r="AB9" s="8" t="inlineStr">
        <is>
          <t>"It's just me, I'm already booked a week out, and I don't want a robot talking to my customers." Answer: it only takes the calls you already can't (missed, after 4pm, weekends), introduces itself as By The Book's assistant, captures the water-heater and tankless jobs you want and politely refers the rest, so the schedule fills with the right work instead of callers going to the next plumber; hear it on the demo line first, nothing to buy until you have.</t>
        </is>
      </c>
      <c r="AC9" s="8" t="inlineStr">
        <is>
          <t>James? Sam with Eat 4 Life Marketing. This is a cold call, so I'll be quick. Your Google listing closes at four and shows weekends off, but your Spring page promises round-the-clock emergency service, so I'm guessing a Saturday water-heater leak hits voicemail while you're under a tank, and that homeowner calls the next name on Google. We build a receptionist trained on your own site that answers as By The Book, books the job, and texts back every missed call in under a minute. You can call it and hear it before you pay a dollar. Can I take twenty seconds to tell you how the demo line works, and if it's not for you, I'll let you go?</t>
        </is>
      </c>
      <c r="AD9" s="8" t="inlineStr">
        <is>
          <t>Tue-Thu 7:30-8:00 AM CT, before his first job (listed hours start at 8 AM), with a backup window 4:00-5:00 PM CT right after listed hours end. Reason: no office staff, dispatcher or answering service appears in any public source; reviews show James schedules and does the work himself ('James offered the first available appointment'; review replies signed '-James'), so midday he is under a water heater and the published line likely rings to him. Avoid Monday mornings (weekend backlog) and Friday after 2 PM.</t>
        </is>
      </c>
      <c r="AE9" s="8" t="inlineStr">
        <is>
          <t>Mon-Fri 8:00 AM-4:00 PM; Sat-Sun Closed (Google Business Profile mirror via LeadsTal and the Nextdoor business page agree). The site's Spring TX page claims 'round-the-clock' emergency response and Yelp reportedly lists 'open 24 hours', but (281) 907-2092 is the only published line and no after-hours coverage is named.</t>
        </is>
      </c>
      <c r="AF9" s="8" t="inlineStr">
        <is>
          <t>CT</t>
        </is>
      </c>
      <c r="AG9" s="8" t="inlineStr">
        <is>
          <t>No gatekeeper found. No office manager, dispatcher, receptionist or answering service is named on the site, Nextdoor, Trustindex (727 reviews), the GBP mirror, conroedirect or the 2018 Voyage Houston interview; the TSBPE record lists no phone. The only published number, (281) 907-2092, appears to ring to James himself (he schedules jobs personally per reviews and signs replies '-James'), and it may be his cell, so human dial only, no SMS or AI voice to that line. Dana Smith is named co-founder on the homepage (the 2018 interview mentions his wife without a role); if she answers, ask for James by name and say it is about the Saturday and after-4 PM calls. If voicemail: leave a 10-second message naming the demo line, then email james@bythebookplumbing.com (printed in the site footer). Neighbors call him 'old school' and code-driven, so do not open with 'AI'; stress it is trained on his site and answers as By The Book.</t>
        </is>
      </c>
      <c r="AH9" s="8" t="inlineStr">
        <is>
          <t>671 Google reviews at 5.0 that name James personally (Trustindex) set against the GBP listing that says "Yes, we offer emergency plumbing services" while hours read Mon-Fri 8 AM-4 PM, Sat/Sun Closed (LeadsTal GBP mirror) - a neutral, verifiable observation about who picks up the phone. Backup: Nextdoor neighbors calling him "old school" and "a hidden gem".</t>
        </is>
      </c>
      <c r="AI9" s="8" t="inlineStr">
        <is>
          <t>(1) Hours gap vs emergency claim: GBP mirror lists "Monday to Friday: 8 AM-4 PM, Saturday and Sunday: Closed" while its FAQ says "Yes, we offer emergency plumbing services to promptly address urgent issues" - no after-hours answering mentioned anywhere (https://www.leadstal.com/sb/by-the-book-plumbing-spring-tx-plumbing). (2) Capacity / turned-away work: "James was great, he was not able to service me, but he referred another company and they were able to service me same day" (2026-07-15); "My appointment was scheduled for the following week" (2025-10-01) (https://www.trustindex.io/reviews/www.bythebookplumbing.com). (3) Reply neglect: "replies to 8% of reviews, usually within 1 day" (Trustindex, 727 reviews). (4) Booking friction: no online scheduling, no chat/text, reCAPTCHA form with no response-time promise (verified in page source). (5) Single phone-first line with no call tracking - missed calls are invisible to the business.</t>
        </is>
      </c>
      <c r="AJ9" s="8" t="inlineStr">
        <is>
          <t>None dated within 60 days found. Observed: homepage banner "$600 Federal Tax Credit on Tankless Water Heaters" (active push on high-ticket installs); TSBPE RMP license M-41669 expires 10/31/2026 (status Current; list also shows insurance expiry 08/21/2026); seasonal: Houston water-heater and freeze season (Nov-Feb) ahead. Not found: job posts (Indeed returned 401; no careers page), new location, site redesign date (Wayback blocked by egress policy; footer (c) 2024), ownership change, review spike. Newest review visible is 2026-07-25.</t>
        </is>
      </c>
      <c r="AK9" s="8" t="inlineStr">
        <is>
          <t>(1) Website: call-first CTA ("Call Us Today! (281) 907-2092", hero "Call us Today"), no booking/chat/text widget in page source (only Elementor, GTM/gtag, Trustindex), first-person-singular copy "As a proficient and seasoned plumber, I'm devoted..." - https://bythebookplumbing.com/. (2) Reviews: James personally schedules and does the work - "James offered the first available appointment" (2026-07-15); "My appointment was scheduled for the following week, but he asked if I needed someone sooner to come out, he would recommend me to someone else he knew" (2025-10-01); "he was not able to service me, but he referred another company and they were able to service me same day" (2026-07-15) - https://www.trustindex.io/reviews/www.bythebookplumbing.com. (3) Reply neglect: "replies to 8% of reviews, usually within 1 day" (Trustindex, 727 reviews). (4) GBP mirror: hours "Monday to Friday: 8 AM-4 PM, Saturday and Sunday: Closed" while FAQ says "Yes, we offer emergency plumbing services" - https://www.leadstal.com/sb/by-the-book-plumbing-spring-tx-plumbing. Contradicting signal: no reachability complaints found; reviews praise him as "professional, responsive, and easy to communicate with" (2026-07-25) - so the pain is capacity (week-out scheduling, work referred away), not unanswered or rude communication. Family-Legacy cues: "family-run business", "James and Dana Smith", the motto, "old school" per Nextdoor neighbors.</t>
        </is>
      </c>
      <c r="AL9" s="8" t="inlineStr">
        <is>
          <t>Licensed Texas Responsible Master Plumber since 07/18/2016 (TSBPE RMP list dated 2026-10-08: SMITH, JAMES ALLEN, M-41669, status Current, expires 10/31/2026, company BY THE BOOK PLUMBING LLC, insurer State Farm, county Montgomery). Formed By The Book Plumbing LLC with Dana Smith (TX trading name recorded 2017-10-03; James A Smith is registered agent). Site: "family-run business", "family-owned and operated". Site copy is first-person singular: "As a proficient and seasoned plumber, I'm devoted to offering dependable and exceptional plumbing services." Prior career, military service, trade school: Not found.</t>
        </is>
      </c>
      <c r="AM9" s="8" t="inlineStr">
        <is>
          <t>Code-and-standards identity: motto "When you want it done right, you want it done By The Book!"; "performs all work in accordance with each city's adopted Code Book". Brags about upfront pricing ("no hidden fees or surprises"), a 1-year warranty, and TSBPE-licensed plumbers. Review replies are short, warm, first-person and signed "-James" ("Thank you for taking the time to leave my company a review!"). Nextdoor neighbors call him "old school", "a hidden gem", and say he "won't rip you off". Reviewers describe him explaining everything, writing "a recommendation letter and service report so I could give to the city", and calling a customer the day before to move them up when a cancellation opened. Offers a 5% cash/check discount (margin-aware). Tone: warm, plain, technical-honest. No podcasts, interviews, or named awards found (Nextdoor "Fave Awards" badge only).</t>
        </is>
      </c>
      <c r="AN9" s="8" t="inlineStr">
        <is>
          <t>Owner-operator</t>
        </is>
      </c>
      <c r="AO9" s="8" t="inlineStr">
        <is>
          <t>Not found (linkedin.com/company/by-the-book-plumbing and -llc return 404; no X-ray search possible this run)</t>
        </is>
      </c>
      <c r="AP9" s="8" t="inlineStr">
        <is>
          <t>Business Facebook page https://www.facebook.com/ByTheBookPlumbing/ (login-walled; 56 Facebook reviews feed Trustindex). Nextdoor business pages https://nextdoor.com/pages/by-the-book-plumbing-spring-tx/ and /by-the-book-plumbing-spring-tx-1/ (list James@ByTheBookPlumbing.com, 'Lic. RMP # 41669', hours Mon-Fri 8-4, Fave Award badges 2018, 2019, 2021-2026, 'Neighborhood Favorite in 394 neighborhoods'). Press: Voyage Houston owner interview 2018-02-28. No Instagram, TikTok, YouTube, X, or LinkedIn found.</t>
        </is>
      </c>
      <c r="AQ9" s="8" t="inlineStr">
        <is>
          <t>https://bythebookplumbing.com/</t>
        </is>
      </c>
      <c r="AR9" s="8" t="inlineStr">
        <is>
          <t>Not found (no info@/office@ published; only james@bythebookplumbing.com appears on the site and Nextdoor)</t>
        </is>
      </c>
      <c r="AS9" s="8" t="inlineStr">
        <is>
          <t>No storefront address on the GBP mirror (service-area listing). TX SOS registered address per OpenCorporates mirror: 6311 Cobble Manor Ln, Spring, TX 77379 (same address on the Nextdoor business page). Street appears residential; use for entity verification only, not mailings or visits.</t>
        </is>
      </c>
      <c r="AT9" s="8" t="inlineStr">
        <is>
          <t>77379</t>
        </is>
      </c>
      <c r="AU9" s="8" t="inlineStr">
        <is>
          <t>Spring, Tomball, The Woodlands, Northeast/Northwest Houston ("&amp; more in the North Houston area")</t>
        </is>
      </c>
      <c r="AV9" s="8" t="inlineStr">
        <is>
          <t>https://www.google.com/maps/search/?api=1&amp;query=Google&amp;query_place_id=ChIJKX8wdeAyR4YR0CgOyC15-C4</t>
        </is>
      </c>
      <c r="AW9" s="8" t="inlineStr">
        <is>
          <t>5.0 (Trustindex aggregate of 727 reviews: 671 Google + 56 Facebook, 99% five-star; LeadsTal GBP mirror shows 5.00)</t>
        </is>
      </c>
      <c r="AX9" s="8" t="inlineStr">
        <is>
          <t>671 Google reviews per the Trustindex widget as of 2026-10-12 (727 incl. 56 Facebook). Breakdown: 723 five-star, 2 four-star, 1 two-star, 1 one-star. Newest review visible on Trustindex dated 2026-07-25; 8 reviews dated 2026 and 9 dated 2025 visible in the sample shown.</t>
        </is>
      </c>
      <c r="AY9" s="8" t="inlineStr">
        <is>
          <t>Voyage Houston interview dated 2018-02-28 (https://voyagehouston.com/interview/meet-james-smith-book-plumbing-spring/): 'my doors officially opened on December 1st of 2017.' TSBPE RMP M-41669 issued 07/18/2016 (Current, expires 10/31/2026; CSV verified 2026-10-13). TX LLC trading name recorded 2017-10-03. Site Spring TX page claims 'over 25 years of service' in the trade. ~9 years in business.</t>
        </is>
      </c>
      <c r="AZ9" s="8" t="inlineStr">
        <is>
          <t>Likely 1-3. Reviews name James doing the work himself; one review mentions a "crew" on a tankless install; Nextdoor summary calls it a "small, individual-focused service". No headcount source found (LinkedIn/Indeed/BBB unavailable).</t>
        </is>
      </c>
      <c r="BA9" s="8" t="inlineStr">
        <is>
          <t>1 (single service-area listing; no locations page; one TX entity)</t>
        </is>
      </c>
      <c r="BB9" s="8" t="inlineStr">
        <is>
          <t>Toilet repair/replacement; water heater repair &amp; replacement (tank and tankless); water softeners; water filtration; general residential (and some commercial) plumbing; "Emergency Plumbing Services" listed on the GBP mirror. 1-year warranty on most installs; Wisetack financing $500-$25,000; 5% cash/check discount; homepage banner "$600 Federal Tax Credit on Tankless Water Heaters".</t>
        </is>
      </c>
      <c r="BC9" s="8" t="inlineStr">
        <is>
          <t>basic - SSL, WordPress/Elementor site (c) 2024, reCAPTCHA contact form with Phone/Text/Email preference, Trustindex review widget, GTM/gtag, Wisetack financing link; no online booking, no chat/text widget, no CRM or field-service scripts, no FAQPage/LocalBusiness schema</t>
        </is>
      </c>
      <c r="BD9" s="8" t="inlineStr">
        <is>
          <t>diy / light web-designer build - "JHFX" (jhfxdesign.com) web-design credit in footer; GTM + gtag only; no Meta pixel, no call tracking, no ads observed, no blog posts retrievable</t>
        </is>
      </c>
      <c r="BE9" s="8" t="inlineStr">
        <is>
          <t>established (licensed 2016, LLC since 2017, 671 Google reviews, steady 2025-2026 review flow) with plateau cues: single-operator capacity, no hiring found, work being referred out</t>
        </is>
      </c>
      <c r="BF9" s="8" t="inlineStr">
        <is>
          <t>sporadic - 8% reply rate over the last 12 months per Trustindex; the replies that exist are personal, warm, and signed "-James"</t>
        </is>
      </c>
      <c r="BG9" s="8" t="inlineStr">
        <is>
          <t>Unknown / no coverage stated. GBP mirror (LeadsTal) and the Nextdoor business page both list Mon-Fri 8 AM-4 PM, Sat/Sun Closed. The site's Spring TX landing page (https://bythebookplumbing.com/spring-texas/) DOES claim 'Plumbing problems don't adhere to regular business hours, and neither do we… providing round-the-clock services when you need them' (home/about/contact pages make no 24/7 claim). No answering service, office line, dispatcher or after-hours number is published anywhere. Yelp reportedly lists 'open 24 hours' (page could not be opened). Who picks up after 4 PM or on weekends is not stated.</t>
        </is>
      </c>
      <c r="BH9" s="8" t="inlineStr">
        <is>
          <t>N - "Request A Quote" / "Get A Free Estimate" buttons lead to a reCAPTCHA contact form (Name, Email, Phone, Address, preferred contact Phone/Text/Email, Message); no scheduler script in page source.</t>
        </is>
      </c>
      <c r="BI9" s="8" t="inlineStr">
        <is>
          <t>N - no chat widget or text-us button; the contact form offers "Text" only as a preferred-reply option.</t>
        </is>
      </c>
      <c r="BJ9" s="8" t="inlineStr">
        <is>
          <t>WordPress + Elementor + Yoast (robots.txt); Google Tag Manager + gtag; Trustindex review widget (claimed/verified profile); Google reCAPTCHA on the form; Wisetack consumer financing (prequalify link); footer web-design credit "JHFX" (jhfxdesign.com; could not fetch to classify); Nextdoor and Facebook links. Not detected: ServiceTitan, Housecall Pro, Jobber, Calendly, Podium, Birdeye, CallRail/CTM (phone number is static 281-907-2092 across pages), Meta pixel, Hotjar, any AI receptionist or answering-service script.</t>
        </is>
      </c>
      <c r="BK9" s="8" t="inlineStr">
        <is>
          <t>Not observed / could not check - Google Ads Transparency Center and Meta Ad Library did not render for automated fetch; LSA / Google Guaranteed not checked (web search budget exhausted this run); no gclid/UTM landing pages, pixel, or call-tracking numbers on the site.</t>
        </is>
      </c>
      <c r="BL9" s="8" t="inlineStr">
        <is>
          <t>not checked - web search budget was exhausted this run, so no ChatGPT/Perplexity/Gemini spot-check could be performed. Schema check done: no FAQPage or LocalBusiness JSON-LD on the home or About pages (only WebSite/WebPage/BreadcrumbList/ImageObject). Run the GEO audit before send.</t>
        </is>
      </c>
      <c r="BM9" s="8" t="inlineStr">
        <is>
          <t>PASS - Not a chain/franchise (no CHAIN_HINTS match, no franchise language, single TX LLC with named local owners); website live (200 on home/about/financing/coupons; later 403s were rate-limiting after many rapid fetches); TX entity "In Existence" with PIRs through 2024 and TSBPE RMP license Current; reviews dated July 2026; phone and contact form present; not a competitor category; no "no solicitation" notice seen; no competing AI receptionist; suppression.csv has no match on name, domain, or phone. GHL dedupe not run in this session.</t>
        </is>
      </c>
      <c r="BN9" s="8" t="inlineStr">
        <is>
          <t>D1 Decision-maker reach: 14/20 - Full name + founder role on the About page ("James and Dana Smith founded By The Book Plumbing"), TX SOS mirror (registered agent James A Smith), and TSBPE RMP record (SMITH JAMES ALLEN, M-41669, company BY THE BOOK PLUMBING LLC); personal email james@bythebookplumbing.com published on the site footer/About and on Nextdoor, MX present; no secondary channel (no owner LinkedIn, no second phone) so not 20. | D2 Phone/after-hours gap: 15/15 - Phone-first (header "Call Us Today! (281) 907-2092", hero CTA "Call us Today"); GBP mirror hours "Monday to Friday: 8 AM-4 PM, Saturday and Sunday: Closed" vs FAQ "Yes, we offer emergency plumbing services"; plumbing is inherently urgent; no 24/7 answering, answering service, or AI receptionist in site, GBP, or source. | D3 Lead-response leak: 10/15 - Exactly 2 signal types: (3) owner reply rate 8% over 12 months (Trustindex, 727 reviews); (5) booking/contact friction - no scheduler, no chat/text, reCAPTCHA form with no response promise (source scan: Elementor/GTM/Trustindex only). No reachability complaints found (reviews praise responsiveness); no job posts found (Indeed 401, no careers page); Yelp 403; BBB has no profile. | D4 AI search visibility: 0/10 - NO EVIDENCE: no AI platform could be checked (web search budget exhausted); schema check only: no FAQPage/LocalBusiness JSON-LD. Not inferred; run the GEO audit before send. | D5 ICP fit / ability to pay: 15/15 - Family-owned, 1 location, named owners, core plumbing niche; proxies: licensed since 07/18/2016 and LLC trading name since 2017-10-03 (3+ yrs); 671 Google reviews (100+); water heater/tankless/softener tickets ($1.5-5k row) with Wisetack financing $500-$25,000; service area Spring/Tomball/The Woodlands/N Houston (3+ cities). Caveat: likely a 1-3 person shop. | D6 Buying signals/spend: 3/15 - Only soft activity: steady review inflow (8 reviews dated 2026 visible) and an active tankless tax-credit banner. Logged null: Google Ads Transparency (did not render), Meta Ad Library (403), LSA (not checked), Indeed (401), footer (JHFX web-design credit only), source (GTM/gtag, no pixel, no call tracking), no careers page, no dated trigger within 180 days. | D7 Owner attitude/stack: 6/10 - Positives: modern site (SSL, (c) 2024, Elementor); adopts tech (Wisetack financing, Trustindex widget, reCAPTCHA form). Replies are warm and signed "-James" but only 8% rate so (a) not met; social recency unverifiable (Facebook login-walled). No negatives, no bundled agency, no AI vendor. Net 2 positives. | TOTAL 63/100 = QUALIFIED band. TRUSTED: 6 of 7 dimensions evidenced, D1 positive citation, D2 direct hours quote, D5 evidenced. Not SEND TODAY: D4 AI spot-check not run and total under 75. GHL 'E4L Services' dedupe was not run in this session.</t>
        </is>
      </c>
      <c r="BO9" s="8" t="inlineStr">
        <is>
          <t>https://bythebookplumbing.com/ (mobile UA only; WAF 403s desktop fetchers), https://bythebookplumbing.com/about-us/, https://bythebookplumbing.com/most-residential-plumbing-services/, https://bythebookplumbing.com/spring-texas/, https://bythebookplumbing.com/contact-us/, https://www.leadstal.com/sb/by-the-book-plumbing-spring-tx-plumbing, https://www.trustindex.io/reviews/www.bythebookplumbing.com, https://opencorporates.com/companies/us_tx/0802827696, https://tsbpe.texas.gov/download-csv/RMP/ (row M-41669), https://nextdoor.com/pages/by-the-book-plumbing-spring-tx/, https://nextdoor.com/pages/by-the-book-plumbing-spring-tx-1/, https://voyagehouston.com/interview/meet-james-smith-book-plumbing-spring/, https://by-the-book-plumbing-llc.conroedirect.us/profile/, https://www.facebook.com/ByTheBookPlumbing/ (login-walled), https://contractorfinder.bradfordwhite.com/contractors/by-the-book-plumbing-40541-magnolia-tx (Cloudflare-blocked, unverified)</t>
        </is>
      </c>
      <c r="BP9" s="8" t="inlineStr">
        <is>
          <t>High</t>
        </is>
      </c>
      <c r="BQ9" s="8" t="inlineStr">
        <is>
          <t>Title detail: Owner / Co-founder and Responsible Master Plumber (TSBPE license M-41669, Current). Site: "James and Dana Smith founded By The Book Plumbing".. Second decision-maker: Dana Smith, co-founder per the About page ("James and Dana Smith"); relationship beyond "family-run" is not stated, so address James and mention Dana only if she picks up. Best call window (Central): 7:00-8:30am or 4:00-5:30pm (GBP hours end at 4pm; he likely answers his own line). Main line 281-907-2092 is the only published number and may be the owner's own phone - manual human dial only, no SMS or AI voice. Entity: By The Book Plumbing LLC, TX file no. 0802827696, status "In Existence", registered agent James A Smith, 6311 Cobble Manor Ln, Spring TX 77379 (OpenCorporates mirror; officer list login-gated; PIRs filed through 2024). License: TSBPE Responsible Master Plumber M-41669, SMITH JAMES ALLEN, Current, issued 07/18/2016, expires 10/31/2026, insurer State Farm (RMP list dated 2026-10-08) - renewal window is open now, a natural "tidying the business" moment. Not a franchise, no chain hints, one location. BBB: no profile. Approach: do not open with "AI"; open with the Saturday/after-4pm call and the demo number; neighbors call him "old school" and he is code-driven, so stress the agent is trained on his site and answers as By The Book. Do not imply his reviews show a problem - they do not; frame as capacity and overflow. Price sensitivity: 5% cash/check discount and Wisetack financing suggest margin-aware; frame Recover around one recovered water-heater job per month, no numbers promised. The "$600 Federal Tax Credit on Tankless Water Heaters" banner is a safe alternate opener, but do not make tax claims ourselves. Gaps to close before send: (1) GEO audit (D4 unchecked - web search budget exhausted); (2) GHL E4L Services dedupe via ghl-contacts.js; (3) Facebook page is login-walled - check for recent owner posts by hand; (4) Yelp, LinkedIn X-ray, Indeed, LSA, and ad libraries could not be checked this run; (5) Bradford White dealer page from the scout (Magnolia TX address) returned 403 and is unverified. Compliance: no sensitive data recorded; registered address appears residential, do not use for mail or visits.</t>
        </is>
      </c>
      <c r="BR9" s="10" t="inlineStr"/>
      <c r="BS9" s="10" t="inlineStr"/>
      <c r="BT9" s="10" t="inlineStr"/>
    </row>
    <row r="10" ht="120" customHeight="1">
      <c r="A10" s="8" t="inlineStr">
        <is>
          <t>20261012-09</t>
        </is>
      </c>
      <c r="B10" s="8" t="inlineStr">
        <is>
          <t>2026-10-12</t>
        </is>
      </c>
      <c r="C10" s="8" t="n">
        <v>1</v>
      </c>
      <c r="D10" s="10" t="inlineStr"/>
      <c r="E10" s="10" t="inlineStr">
        <is>
          <t>New</t>
        </is>
      </c>
      <c r="F10" s="8" t="n">
        <v>65</v>
      </c>
      <c r="G10" s="8">
        <f>IF(F10="","",IF(F10&gt;=80,"A — send today",IF(F10&gt;=60,"B — worth a touch",IF(F10&gt;=40,"C — hold","D — reject"))))</f>
        <v/>
      </c>
      <c r="H10" s="8" t="inlineStr">
        <is>
          <t>ScissorTail Roofing &amp; Construction</t>
        </is>
      </c>
      <c r="I10" s="8" t="inlineStr">
        <is>
          <t>Matt</t>
        </is>
      </c>
      <c r="J10" s="8" t="inlineStr">
        <is>
          <t>Morgan</t>
        </is>
      </c>
      <c r="K10" s="8" t="inlineStr">
        <is>
          <t>Owner</t>
        </is>
      </c>
      <c r="L10" s="8" t="inlineStr">
        <is>
          <t>Not found for the owner. Only published address: matt.seaton@scissortailroofing.com — belongs to Matt Seaton, Director of Operations (NOT an owner); shown on homepage ("Call us at 405-928-8089 or email matt.seaton@scissortailroofing.com to describe your project") and About page; MX present (smtp.google.com)</t>
        </is>
      </c>
      <c r="M10" s="8" t="inlineStr">
        <is>
          <t>Not found (owner). The only published address, matt.seaton@scissortailroofing.com, is a named staff email for Matt Seaton, Director of Operations — not an owner.</t>
        </is>
      </c>
      <c r="N10" s="8" t="inlineStr">
        <is>
          <t>Not found (owner email). Matt Seaton's staff email is Confirmed on homepage + About page (MX smtp.google.com) — use as champion/route-through only, never as owner_email.</t>
        </is>
      </c>
      <c r="O10" s="8" t="inlineStr">
        <is>
          <t>+1 405-452-0591 — LIKELY, not confirmed as owner-direct: listed as "Contact phone" under "Contact name Matt Morgan" in the May 5, 2025 GetFeatured press placement media-contact block; scout noted an older directory shows it as the Norman office line; not labeled cell/direct anywhere. Manual human dial only; line type unknown.</t>
        </is>
      </c>
      <c r="P10" s="8" t="inlineStr">
        <is>
          <t>+1 405-928-8089 (site header/footer tel link, Contact page, BBB — CONFIRMED main line)</t>
        </is>
      </c>
      <c r="Q10" s="8" t="inlineStr">
        <is>
          <t>Roofing (residential + commercial roofing, storm restoration, siding/windows, general contracting)</t>
        </is>
      </c>
      <c r="R10" s="8" t="inlineStr">
        <is>
          <t>core</t>
        </is>
      </c>
      <c r="S10" s="8" t="inlineStr">
        <is>
          <t>Norman</t>
        </is>
      </c>
      <c r="T10" s="8" t="inlineStr">
        <is>
          <t>OK</t>
        </is>
      </c>
      <c r="U10" s="8" t="inlineStr">
        <is>
          <t>They just rebuilt the site (~May 2026) with city pages, FAQ schema and an AI-crawler allowlist — they are actively investing in inbound right now, and the site advertises 24/7 emergency service with an office staffed 8–6 Mon–Fri. Oklahoma's fall/winter storm windows produce call spikes across their 9-city service area, and as a Google Guaranteed (LSA) business every unanswered after-hours call is a lead they already paid for. No results promised — the demo line lets them hear the gap closed before spending anything.</t>
        </is>
      </c>
      <c r="V10" s="8" t="inlineStr">
        <is>
          <t>Growth-Minded Operator (secondary: Tech-Forward Early Adopter) — medium confidence</t>
        </is>
      </c>
      <c r="W10" s="8" t="inlineStr">
        <is>
          <t>Voice AI live demo line built from scissortailroofing.com — positioned as after-hours/overflow coverage behind their own "Responses within 2 hrs" promise: answers the 24/7 emergency line when the personal phone is on a roof, qualifies storm/leak urgency, captures address + insurance status, books the free estimate; pair with missed-call text-back on the SMS-consented estimate form. GEO audit only as a secondary touch (site already schema-ready). demo_build = yes (D2 = 15, site scrapable, 38 clean pages).</t>
        </is>
      </c>
      <c r="X10" s="8" t="inlineStr">
        <is>
          <t>Recover</t>
        </is>
      </c>
      <c r="Y10" s="8" t="inlineStr">
        <is>
          <t>Matt — who picks up at ScissorTail after 6?</t>
        </is>
      </c>
      <c r="Z10" s="8" t="inlineStr">
        <is>
          <t>Your site promises 24/7 emergency roofing across Central Oklahoma and says estimate requests go straight to a personal phone — I'm curious who picks up at 7pm when that phone is on a roof in Moore.</t>
        </is>
      </c>
      <c r="AA10" s="8" t="inlineStr">
        <is>
          <t>Missed-call / after-hours voice demo. Matt Morgan spent 15 years in software management and the company already runs a GEO-ready site, so skip "AI education" and GEO; lead with proof: a demo receptionist already built from their own site that only takes the calls that ring out after 6pm, on weekends ("By Appointment"), and during hail-week surges across 9 cities — then books the free estimate and texts the caller back. Frame it as protecting the "Responses within 2 hrs" promise and the Google Guaranteed leads they are already paying for, not replacing Matt Seaton's team. Secondary champion: Matt Seaton (Director of Operations, "operation and efficiency programs") — the demo is something he can forward to the three owners.</t>
        </is>
      </c>
      <c r="AB10" s="8" t="inlineStr">
        <is>
          <t>"It goes straight to my personal phone and we respond within two hours — we don't miss calls." Response: agree, and point out the demo only picks up when that phone can't (on a roof, after 6, Sunday storm night); offer to let them call the demo line and hear it; go-live is one conditional call-forward rule on missed/busy calls, rollback is one dial code. Second objection: "we already have a new website / we're Google Guaranteed" — reply that this is about the calls those investments generate, not more marketing.</t>
        </is>
      </c>
      <c r="AC10" s="8" t="inlineStr">
        <is>
          <t>"Hi, this is Sam with Eat 4 Life Marketing — this is a cold call, so feel free to hang up on me. I was on scissortailroofing.com and saw you promise 24/7 emergency service across Central Oklahoma while the office runs eight to six, and estimate requests go straight to somebody's personal phone. We built a demo receptionist for ScissorTail from your own site — it only picks up the calls that ring out after six or during a hail week, qualifies the caller, and books the free estimate. Can I take twenty seconds to tell you how it works, and you tell me whether it's worth hearing?"</t>
        </is>
      </c>
      <c r="AD10" s="8" t="inlineStr">
        <is>
          <t>Tue–Thu 8:00–8:45 AM CT, right at office open before account managers and production staff head to job sites (office line staffed from 8:00 per site hours; trades window per playbook); fallback Tue–Thu 4:30–5:45 PM CT before the 6:00 PM close when field staff are back. Avoid Mondays (storm-week callback backlog) and anything outside 8–6 (site says after-hours is emergencies only).</t>
        </is>
      </c>
      <c r="AE10" s="8" t="inlineStr">
        <is>
          <t>Mon–Fri 8:00 AM–6:00 PM; Saturday and Sunday "By Appointment"; "24/7 Emergency Services Available" / "around the clock for emergencies" (site homepage, Contact page, JSON-LD openingHoursSpecification Mon–Fri 08:00–18:00). Google Business Profile hours not readable this run.</t>
        </is>
      </c>
      <c r="AF10" s="8" t="inlineStr">
        <is>
          <t>America/Chicago — Central Time (CDT in October, UTC-5)</t>
        </is>
      </c>
      <c r="AG10" s="8" t="inlineStr">
        <is>
          <t>Who answers the main line (405) 928-8089 is not published — no office manager/dispatcher named on site, BBB, or reviews (reviews not readable). Published contact is Matt Seaton, Director of Operations (matt.seaton@scissortailroofing.com; "regularly find him in the field talking with our customers"). Account-management team that likely fields inbound: Lance Uhles (Director), Nich Lanier and Mitchell Smith (Account Managers). The estimate widget says messages go to "his personal phone" — unnamed. Two Matts: ask for "Matt Seaton" first (he is the published contact and runs operations/efficiency programs — natural champion), then "Matt Morgan, the owner". Second line (405) 452-0591 is tied to Matt Morgan as media contact in the May 2025 press release — try it only as a manual dial if the main line stalls. No answering service or IVR detected.</t>
        </is>
      </c>
      <c r="AH10" s="8" t="inlineStr">
        <is>
          <t>Matt Morgan serving as Board President of the Oklahoma Roofing Contractors Association (site About; undated) — safe, professional compliment. Operational hook: the site promises "24/7 Emergency Services Available" / "Responses within 2 hrs" while hours are Mon–Fri 8–6 and estimate texts go "straight to my personal phone" (homepage). Secondary: new website built ~May 2026 (robots.txt "Generated: May 2026", Astro v6.2.1, © 2026).</t>
        </is>
      </c>
      <c r="AI10" s="8" t="inlineStr">
        <is>
          <t>(1) After-hours gap, direct: "24/7 Emergency Services Available" + "around the clock for emergencies" vs. "Mon–Fri 8:00 AM - 6:00 PM · Sat By Appointment · Sun By Appointment" (https://www.scissortailroofing.com/, /contact/). (2) Owner/manager phone dependence: "This text goes straight to my personal phone. I will make sure to get back to you the second I'm free!" (homepage + /free-estimate/) — inbound depends on one person being free. (3) Response promise they must staff: "Responses within 2 hrs" in header. (4) Storm-surge niche + 9-city service area + insurance-claim work = call spikes ("Oklahoma's weather can be unpredictable, bringing high winds, hailstorms" — press piece). (5) No online booking, no call tracking: estimates are scheduled by hand after a human calls back ("A member of our team reviews your request and contacts you"). NULLS: no responsiveness complaints found (GBP/Yelp/Facebook not readable; BBB 0 complaints); no front-office job post found (Indeed 403, no careers page); site reviews praise follow-through ("a company that follows through").</t>
        </is>
      </c>
      <c r="AJ10" s="8" t="inlineStr">
        <is>
          <t>(a) New website ~May 2026: robots.txt "Generated: May 2026", Astro v6.2.1, © 2026, 38-page sitemap with 9 city pages (https://www.scissortailroofing.com/robots.txt, /sitemap-0.xml) — 61–180 days old (Wayback timeline could not be pulled; connection reset). (b) Staffing growth: Mitchell Smith Apr 2025, Geronimo Urrutia Aug 2025, Ryan Seaton 2025; Matt Seaton "joined ScissorTail as our Director of Operations" (undated). (c) Awards on site: Reader's Choice, Metro Top 50, Best of 405 (undated). (d) Paid press May 2025. Seasonal: Oklahoma fall/winter storm season — not verified with a dated weather event this run.</t>
        </is>
      </c>
      <c r="AK10" s="8" t="inlineStr">
        <is>
          <t>(1) Growth posture — site About lists "Google Guaranteed Business, Reader's Choice Award Winner, Metro Top 50 honoree, Best of 405" and three staff additions in 2024–2025 (Nich Lanier Mar 2024, Mitchell Smith Apr 2025, Geronimo Urrutia Aug 2025) https://www.scissortailroofing.com/about/ (2) Pays for visibility — paid GetFeatured press placement May 5, 2025 https://markets.financialcontent.com/stocks/article/getfeatured-2025-5-5-scissortail-roofing-and-construction-leading-roofing-company-in-norman-for-quality-and-reliability (3) New GEO-aware site — Astro v6.2.1, © 2026, FAQPage + LocalBusiness/RoofingContractor JSON-LD, robots.txt "Generated: May 2026" explicitly allowing GPTBot/PerplexityBot/ClaudeBot "keep visible for GEO / AI Overviews" https://www.scissortailroofing.com/robots.txt (4) Tech adoption — Wisetack financing portal, SMS-consent estimate form, custom text-to-phone widget, Google review funnel page (/review/) https://www.scissortailroofing.com/financing/ (5) 2 offices, 9-city service area, 24/7 claim = investing in capacity. No negatives observed (no hostile replies readable; no anti-marketing/anti-AI language; no no-solicitation notice on terms/privacy). Contradicting signal: estimate widget "straight to my personal phone" shows Overwhelmed-style phone dependence despite an 11-person team.</t>
        </is>
      </c>
      <c r="AL10" s="8" t="inlineStr">
        <is>
          <t>Matt Morgan (About page, self-stated): worked construction in Houston "at a young age, all the way through college"; BBA Texas A&amp;M 1998 (Information &amp; Operations Management); Dallas, then Oklahoma for Devon Energy; "After 15 years in software management, he returned to his roots of commercial and residential construction in 2014, establishing ScissorTail Roofing &amp; Construction"; carries the company's commercial endorsement; Fortified Certified; served on Board of Directors, Builders Association of South Central Oklahoma; "now serving as Board President for the Oklahoma Roofing Contractors Association". Kristi Morgan (co-owner): Norman native, 20+ yrs community development, bookkeeping, event planning, marketing, alumni relations; OU BBA Marketing; ex-Norman Chamber of Commerce; United Way of Norman board; Leadership Norman 2011. Joey Wishnuck (co-owner): MBA, JD; real estate developer/investor/builder; Journal Record Achievers Under 40; NormanNEXT Under 40; boards of United Way of Norman, Norman Chamber, BASCO. Source: https://www.scissortailroofing.com/about/</t>
        </is>
      </c>
      <c r="AM10" s="8" t="inlineStr">
        <is>
          <t>Tone: warm-professional, community-rooted, credential-conscious. Verbatim site lines: "We are not a storm-chasing outfit that rolls in after a hailstorm and disappears. We live here, work here, and stand behind every project we complete." / "what matters more to us is that our neighbors in Norman, Oklahoma City, Edmond, and across Central Oklahoma keep calling us back and referring us to their friends." / "From your first call to final inspection, we handle the details so you don't have to." / estimate widget: "This text goes straight to my personal phone. I will make sure to get back to you the second I'm free!" Bragging points: Google Guaranteed, Reader's Choice Award Winner, Metro Top 50 honoree, Best of 405, Fortified Certified, ORCA board presidency. Matt's 15 years in software management = will judge a demo on specifics, not hype.</t>
        </is>
      </c>
      <c r="AN10" s="8" t="inlineStr">
        <is>
          <t>Owner-operator</t>
        </is>
      </c>
      <c r="AO10" s="8" t="inlineStr">
        <is>
          <t>Not found (no LinkedIn link on site/BBB; guessed company URL 404; LinkedIn X-ray impossible — web search budget exhausted this run)</t>
        </is>
      </c>
      <c r="AP10" s="8" t="inlineStr">
        <is>
          <t>Company: Facebook https://www.facebook.com/ScissortailRoofing and Instagram https://www.instagram.com/scissortailroofing/ (linked from site footer + JSON-LD sameAs + BBB — CONFIRMED). Activity/follower counts not readable (Facebook login wall, Instagram 429). No owner-personal handles found.</t>
        </is>
      </c>
      <c r="AQ10" s="8" t="inlineStr">
        <is>
          <t>https://www.scissortailroofing.com</t>
        </is>
      </c>
      <c r="AR10" s="8" t="inlineStr">
        <is>
          <t>Not found (no info@/office@ on site, BBB, or terms/privacy pages; only published mailbox is matt.seaton@scissortailroofing.com)</t>
        </is>
      </c>
      <c r="AS10" s="8" t="inlineStr">
        <is>
          <t>300 W Main St, Norman, OK 73069 (HQ; site + BBB). Second office: 15712 N Pennsylvania Ave Ste 1, Edmond, OK 73013 (BBB Edmond profile; scout's Chamber listing showed 15721 N Pennsylvania Ste C1 — minor conflict, Chamber page returned 403 this run)</t>
        </is>
      </c>
      <c r="AT10" s="8" t="inlineStr">
        <is>
          <t>73069</t>
        </is>
      </c>
      <c r="AU10" s="8" t="inlineStr">
        <is>
          <t>Newcastle, Oklahoma City, Edmond, Norman, Lawton, Shawnee, Moore, Nichols Hills, Mustang (site JSON-LD areaServed + /areas/ pages); About page also names Blanchard, Tuttle, Choctaw, Ardmore, Yukon. "No extra travel fees for this area" on Norman page.</t>
        </is>
      </c>
      <c r="AV10" s="8" t="inlineStr">
        <is>
          <t>https://www.google.com/maps/place/?q=place_id:ChIJa3BSuKFpsocRxwox2MH7Qkc (place ID taken from the site's own /review/ page write-review link)</t>
        </is>
      </c>
      <c r="AW10" s="8" t="inlineStr">
        <is>
          <t>4.9 — SITE-PUBLISHED only (homepage JSON-LD aggregateRating ratingValue 4.9); GBP itself not readable this run (Maps renders as JS shell) — verify before quoting</t>
        </is>
      </c>
      <c r="AX10" s="8" t="inlineStr">
        <is>
          <t>99 — site-published JSON-LD reviewCount; sample reviews on site dated June 2025, June 2026, August 2026; verify on GBP</t>
        </is>
      </c>
      <c r="AY10" s="8" t="inlineStr">
        <is>
          <t>2014 — site About: "in 2014, establishing ScissorTail Roofing &amp; Construction"; BBB foundingDate 2014-01-24 (CONFIRMED, two sources). ~12 years.</t>
        </is>
      </c>
      <c r="AZ10" s="8" t="inlineStr">
        <is>
          <t>11 named on About page: 3 Owners (Matt Morgan, Kristi Morgan, Joey Wishnuck), Director of Operations (Matt Seaton), 2 Directors (Lance Uhles - account management; Raymon Walton - production), 2 Account Managers (Nich Lanier joined Mar 2024; Mitchell Smith joined Apr 2025), 2 Production Assistants (Cale Hawkins early 2024; Geronimo Urrutia Aug 2025), 1 Production Intern (Ryan Seaton, 2025) + install crews. BBB/LinkedIn headcount not available.</t>
        </is>
      </c>
      <c r="BA10" s="8" t="inlineStr">
        <is>
          <t>2 offices (Norman HQ + Edmond) — independent, no franchise/parent language anywhere</t>
        </is>
      </c>
      <c r="BB10" s="8" t="inlineStr">
        <is>
          <t>Roof repair, roof replacement, new roof installation, roof maintenance, commercial roofing (TPO, metal roof restoration, acrylic coatings), storm restoration + insurance-claim guidance, siding install/repair/replacement, window install/replacement, construction &amp; remodel, commercial buildout; Wisetack financing up to $25,000</t>
        </is>
      </c>
      <c r="BC10" s="8" t="inlineStr">
        <is>
          <t>modern/advanced — FAQPage + LocalBusiness schema, AI-crawler allowlist in robots.txt, Wisetack financing, SMS-consent form, custom text-to-personal-phone widget, review funnel page; NO booking software, NO chat vendor, NO call tracking, NO GTM/Meta pixel in source (Astro static site)</t>
        </is>
      </c>
      <c r="BD10" s="8" t="inlineStr">
        <is>
          <t>in_house/diy hybrid — co-owner Kristi Morgan has a marketing background (OU BBA Marketing, "marketing" in her About bio); paid press placements (GetFeatured 2025); site claims Google Guaranteed (LSA); custom Astro site with a template artifact in robots.txt ("Acme Weighted Plumbing LLC — Generated: May 2026") and no agency footer credit = uncredited developer/template build, no bundled vertical agency (greenfield for E4L)</t>
        </is>
      </c>
      <c r="BE10" s="8" t="inlineStr">
        <is>
          <t>established with scaling signals — 12 years, 11 named staff, 2 offices, 3 hires in 2024–2025, new website 2026, financing offered</t>
        </is>
      </c>
      <c r="BF10" s="8" t="inlineStr">
        <is>
          <t>unknown — Google Business Profile not readable this run (JS shell), Yelp 403, Facebook login wall; BBB shows 0 complaints in 3 years and 0 BBB reviews</t>
        </is>
      </c>
      <c r="BG10" s="8" t="inlineStr">
        <is>
          <t>claims_24_7 with hours_only staffing — Site: "24/7 Emergency Services Available" (homepage badge), FAQ: "Yes, we provide 24/7 emergency roofing services for storm damage and urgent repairs across Central Oklahoma", Norman page: "Emergency response available 24/7"; Contact page: "We are available Monday through Friday from 8a to 6p, by appointment outside those hours, and around the clock for emergencies"; hours block "Mon–Fri 8:00 AM - 6:00 PM · Sat By Appointment · Sun By Appointment"; header promise "Responses within 2 hrs". Estimate widget: "Replies on his personal phone — This text goes straight to my personal phone." No answering service, IVR, call center, or AI receptionist mentioned anywhere on site or in page source. Who actually answers after 6pm: Not found.</t>
        </is>
      </c>
      <c r="BH10" s="8" t="inlineStr">
        <is>
          <t>None — "Get a Free Estimate" form only (name, phone, address, project); no Calendly/Housecall Pro/Jobber/ServiceTitan/Acuity scripts in source; "We'll schedule a time that works for you" (manual scheduling)</t>
        </is>
      </c>
      <c r="BI10" s="8" t="inlineStr">
        <is>
          <t>Custom "Free Assessment" message box (not a vendor widget): "Replies on his personal phone. This text goes straight to my personal phone. I will make sure to get back to you the second I'm free!" Estimate form includes SMS consent: "By providing my phone number, I agree to receive text messages from the business." No Podium/Birdeye/Tidio/Intercom/tawk/Textline detected.</t>
        </is>
      </c>
      <c r="BJ10" s="8" t="inlineStr">
        <is>
          <t>Astro v6.2.1 (meta generator), Google Fonts, Wisetack (financing), Google Workspace mail (MX smtp.google.com), Google review link (placeid). NOT found in source: googletagmanager, gtag, fbq, CallRail/calltrk, CTM, Hotjar, Podium, Birdeye, NiceJob, chat/booking vendors, Smith.ai/Goodcall/Dialzara or any AI-receptionist script.</t>
        </is>
      </c>
      <c r="BK10" s="8" t="inlineStr">
        <is>
          <t>Not verified. Site displays "Google Guaranteed Business" badge (= Google Local Services Ads participation, self-claimed on homepage/About; LSA unit not checked). Paid press placements via GetFeatured (May 2025). Google Ads Transparency Center and Meta Ad Library not checked (web search budget exhausted; both pages are JS-only).</t>
        </is>
      </c>
      <c r="BL10" s="8" t="inlineStr">
        <is>
          <t>not checked — web search budget exhausted this run and Perplexity returned 403; note the site is already GEO-prepared (FAQPage + LocalBusiness schema, robots.txt allowlists GPTBot/PerplexityBot/ClaudeBot), so GEO audit is a secondary wedge, not the opener. Run the 3-question spot check before any "Named in X of Y" claim.</t>
        </is>
      </c>
      <c r="BM10" s="8" t="inlineStr">
        <is>
          <t>PASS — independent family-owned LLC (2 offices, no franchise/parent/PE language on site, BBB, terms); working own-domain site (HTTP 200, Astro, © 2026); live US business (BBB founded 2014, A+, reviews dated Aug 2026 on site); inbound channels exist (phone + estimate form + text box); residential AND commercial (not commercial-only/bid-driven); not a competitor category; no AI receptionist or answering-service vendor in source; no no-solicitation notice on homepage/terms/privacy; not in suppression.csv or seen.csv (domain and name grepped; only unrelated 'Morgan' surname hits). NOT RUN: GHL 'E4L Services' dedupe (no access from this agent).</t>
        </is>
      </c>
      <c r="BN10" s="8" t="inlineStr">
        <is>
          <t>D1 Decision-maker reach: 14/20 — Matt Morgan "Owner" (site About) + "CEO/Owner" (BBB) = CONFIRMED name+role, two sources; co-owners Kristi Morgan and Joey Wishnuck named; published personal-pattern email is matt.seaton@scissortailroofing.com (Director of Operations, role proxy, MX present), owner email not published; second phone (405) 452-0591 tied to Matt Morgan in press media-contact block (LIKELY, not labeled direct); no LinkedIn found. Not 20 because no owner-owned email/confirmed direct line. | D2 Phone-coverage gap: 15/15 — phone-first (number in header, "Call (405) 928-8089" beside estimate CTA, Contact: "Best way to reach us for urgent questions"); gap proof (a) hours "Mon–Fri 8:00 AM - 6:00 PM · Sat/Sun By Appointment" vs "24/7 Emergency Services Available"/"around the clock for emergencies"; (c) no answering service/AI vendor anywhere in source; plus "straight to my personal phone". | D3 Lead-response leak: 0/15 — LOGGED NULL: GBP reviews (JS shell), Yelp (403), Facebook (login), Indeed (403), site careers (404), BBB (0 complaints, 0 reviews) — no quotable complaint, no front-office job post, no reply-rate data; friction signal (5) does not fire because the form carries a response promise ("Responses within 2 hrs", "We'll be in touch shortly") and a text-to-phone box. Re-check GBP before send. | D4 AI search visibility: 0/10 — NO EVIDENCE: no AI platform could be checked (search budget exhausted, Perplexity 403); site already has FAQPage + LocalBusiness JSON-LD and an AI-crawler allowlist, so expect at most 6 even when run. | D5 ICP fit/ability to pay: 15/15 — (a) family-owned LLC, 2 offices, named owners; (b) roofing = core niche; (c) proxies: since 2014 (site + BBB), 11 named staff, roofing ticket $8–15k + Wisetack financing to $25k, 9-city service area + 24/7 claim = 4 proxies. | D6 Timing/spend: 11/15 — trigger: new website ~May 2026 (61–180 days) + spend signal (b) site-claimed "Google Guaranteed" (LSA) and (e) paid GetFeatured press May 2025; negatives logged: no GTM/pixel/CallRail, Google Ads SERP and Meta Ad Library not checked, no job posts found. | D7 Attitude/stack: 10/10 — positives: modern © 2026 site (b), tech adoption (Wisetack, SMS consent, schema, review funnel) (c), growth posture (awards, press, ORCA board presidency, 2024–25 hires) (e); no negatives observed; no bundled agency or competing AI/GEO vendor credited. | TOTAL 65 → QUALIFIED. Minimum-evidence: 6 of 7 dimensions carry evidence (D4 NO EVIDENCE), D1 positive citation, D2 direct quoted evidence, D5 cited → TRUSTED, but GHL 'E4L Services' dedupe (ghl-contacts.js) was NOT run by this agent — run before load. Not SEND TODAY: total &lt; 75 and D4 spot-check not run.</t>
        </is>
      </c>
      <c r="BO10" s="8" t="inlineStr">
        <is>
          <t>https://www.scissortailroofing.com/, https://www.scissortailroofing.com/about/, https://www.bbb.org/us/ok/norman/profile/commercial-roofing/scissortail-roofing-and-construction-llc-0995-90074051/addressId/137398, https://www.scissortailroofing.com/contact/, https://www.scissortailroofing.com/free-estimate/, https://www.scissortailroofing.com/robots.txt, https://markets.financialcontent.com/stocks/article/getfeatured-2025-5-5-scissortail-roofing-and-construction-leading-roofing-company-in-norman-for-quality-and-reliability, https://www.scissortailroofing.com/financing/, https://www.scissortailroofing.com/review/, https://www.scissortailroofing.com/areas/norman-ok/, https://www.scissortailroofing.com/terms/, https://www.scissortailroofing.com/sitemap-0.xml, https://www.bbb.org/us/ok/edmond/profile/commercial-roofing/scissortail-roofing-and-construction-llc-0995-90074051, https://www.facebook.com/ScissortailRoofing, https://www.instagram.com/scissortailroofing/, https://dns.google/resolve?name=scissortailroofing.com&amp;type=MX, https://cca.edmondchamber.com/scissortail-roofing-and-construction-_S_1_709_10464464_memberprofile.aspx (scout source; 403 this run), https://homeguide.com/ok/norman/general-contractors/scissortail-roofing---construction-pbJEHBzXx (scout source; 403 this run)</t>
        </is>
      </c>
      <c r="BP10" s="8" t="inlineStr">
        <is>
          <t>Medium</t>
        </is>
      </c>
      <c r="BQ10" s="8" t="inlineStr">
        <is>
          <t>Title detail: Owner (site About: "Matt Morgan — Owner"); "CEO/Owner" (BBB Business Management). Co-owners: Kristi Morgan (Owner) and Joey Wishnuck (Owner) — both on About page. CONFIRMED (site + BBB).. Legal entity note: legal: ScissorTail Roofing and Construction LLC per BBB. (1) Three owners: Matt Morgan is founder/CEO and media contact; Kristi Morgan (co-owner) has the marketing background per About — she may own the marketing-spend decision, so address Matt and copy/ask for Kristi on the Game Plan Call; Joey Wishnuck is an investor/developer with other ventures. (2) The only published email is Matt Seaton's (Director of Operations) — route the demo link through him as champion; do not address him as owner. (3) Do not open with reviews — none were readable this run; verify GBP (4.9/99 is site-claimed) before quoting anything. (4) GEO is NOT the opener: site already carries FAQPage/LocalBusiness schema and allowlists GPTBot/ClaudeBot; run the D4 spot-check before any "Named in X of Y" line. (5) Oklahoma has telemarketer-registration/mini-TCPA rules — confirm compliance before Sam dials (playbook legal section). (6) (405) 452-0591 is unverified line type — manual human dial only, no SMS. (7) GHL 'E4L Services' dedupe was not run by this agent (no access) — run ghl-contacts.js by domain/phone/name+city before loading. (8) Avoid any mention of the site's /review/ page sentiment-gating. (9) About page contains family/church details — excluded here; do not use in outreach.</t>
        </is>
      </c>
      <c r="BR10" s="10" t="inlineStr"/>
      <c r="BS10" s="10" t="inlineStr"/>
      <c r="BT10" s="10" t="inlineStr"/>
    </row>
    <row r="11" ht="120" customHeight="1">
      <c r="A11" s="8" t="inlineStr">
        <is>
          <t>20261012-10</t>
        </is>
      </c>
      <c r="B11" s="8" t="inlineStr">
        <is>
          <t>2026-10-12</t>
        </is>
      </c>
      <c r="C11" s="8" t="n">
        <v>1</v>
      </c>
      <c r="D11" s="10" t="inlineStr"/>
      <c r="E11" s="10" t="inlineStr">
        <is>
          <t>New</t>
        </is>
      </c>
      <c r="F11" s="8" t="n">
        <v>65</v>
      </c>
      <c r="G11" s="8">
        <f>IF(F11="","",IF(F11&gt;=80,"A — send today",IF(F11&gt;=60,"B — worth a touch",IF(F11&gt;=40,"C — hold","D — reject"))))</f>
        <v/>
      </c>
      <c r="H11" s="8" t="inlineStr">
        <is>
          <t>Compassionate Care Veterinary Hospital of Charlotte</t>
        </is>
      </c>
      <c r="I11" s="8" t="inlineStr">
        <is>
          <t>Trish</t>
        </is>
      </c>
      <c r="J11" s="8" t="inlineStr">
        <is>
          <t>Johnson</t>
        </is>
      </c>
      <c r="K11" s="8" t="inlineStr">
        <is>
          <t>Practice Owner</t>
        </is>
      </c>
      <c r="L11" s="8" t="inlineStr">
        <is>
          <t>info@charlottepetdoctor.com</t>
        </is>
      </c>
      <c r="M11" s="8" t="inlineStr">
        <is>
          <t>Generic (info@/office@)</t>
        </is>
      </c>
      <c r="N11" s="8" t="inlineStr">
        <is>
          <t>Confirmed</t>
        </is>
      </c>
      <c r="O11" s="8" t="inlineStr">
        <is>
          <t>Not found. Secondary business numbers on BBB: (704) 847-4796 (phone) and (704) 847-7301 (fax) — distinct from the site's (704) 486-2571; not tied to the owner, do not treat as a direct line.</t>
        </is>
      </c>
      <c r="P11" s="8" t="inlineStr">
        <is>
          <t>+1 704-486-2571</t>
        </is>
      </c>
      <c r="Q11" s="8" t="inlineStr">
        <is>
          <t>Veterinary</t>
        </is>
      </c>
      <c r="R11" s="8" t="inlineStr">
        <is>
          <t>core</t>
        </is>
      </c>
      <c r="S11" s="8" t="inlineStr">
        <is>
          <t>Charlotte</t>
        </is>
      </c>
      <c r="T11" s="8" t="inlineStr">
        <is>
          <t>NC</t>
        </is>
      </c>
      <c r="U11" s="8" t="inlineStr">
        <is>
          <t>The receptionist and technician postings were touched on 2026-09-07 (sitemap), so the practice is actively trying to solve phone coverage with headcount right now — the moment the 'you're hiring for the thing the AI answers' opener lands. Year-round structural gap: closed Wed/Sat/Sun and Fri 12–2 with a '24/7 Emergency Info' promise on the homepage. The practice is accepting new patients (JSON-LD), so captured calls convert. Seasonal (inference, not business-specific): holiday travel and toxin-ingestion calls climb Nov–Dec.</t>
        </is>
      </c>
      <c r="V11" s="8" t="inlineStr">
        <is>
          <t>Overwhelmed Owner-Operator (medium confidence; secondary: Growth-Minded Operator — hiring two roles)</t>
        </is>
      </c>
      <c r="W11" s="8" t="inlineStr">
        <is>
          <t>Free GEO audit (Chosen's matrix default for veterinary) — but open with the live voice-demo line built from charlottepetdoctor.com: the receptionist job post is the rubric's strongest door-opener and D2 = 15 (demo_build = yes). Use the GEO audit as ask #2 on the call/email. run_geo_audit = yes (D4 unchecked).</t>
        </is>
      </c>
      <c r="X11" s="8" t="inlineStr">
        <is>
          <t>Recover (voice agent with emergency triage to Carolina Veterinary Specialists + booking + reminders). Budget caveat: 1-DVM, ~9-staff practice — if Recover is a stretch, fall back to the à la carte solo voice agent. No dollar figures in any outreach.</t>
        </is>
      </c>
      <c r="Y11" s="8" t="inlineStr">
        <is>
          <t>Your receptionist opening + Wednesdays</t>
        </is>
      </c>
      <c r="Z11" s="8" t="inlineStr">
        <is>
          <t>Dr. Johnson — saw Compassionate Care is hiring a receptionist who can manage 'several phone lines,' and that the hospital is closed all day Wednesdays and weekends; those are exactly the hours a pet parent's call rings out and they dial the next clinic on Google.</t>
        </is>
      </c>
      <c r="AA11" s="8" t="inlineStr">
        <is>
          <t>Missed-call / front-desk relief, not 'AI'. You are paying headcount to cover the phones and still have three closed days a week plus a Friday lunch gap; we build a receptionist trained on your own website that answers the calls that currently hit voicemail or a busy line, sends true emergencies straight to Carolina Veterinary Specialists (human/ER first, always), takes the rest as appointment requests Teresa confirms in the morning, and texts back every missed call in under a minute. Go-live is one conditional call-forwarding rule for missed/busy calls; rollback is one dial code. Proof lever: 'call the demo number we built from charlottepetdoctor.com before you pay anything.' Second ask: the free AI-visibility check for 'best vet in Charlotte' / 'emergency vet near Charlotte'.</t>
        </is>
      </c>
      <c r="AB11" s="8" t="inlineStr">
        <is>
          <t>'We're hiring a person for that' / 'Our clients want a real person' / 'An AI will mishandle an emergency.' Handle: it does not replace Teresa or the new hire — it only catches what already goes unanswered (Wednesdays, after 5:30, weekends, second line busy); emergencies are routed to a human or the ER immediately with no triage by the agent; they hear it themselves on the demo line first; nothing to set up beyond one call-forwarding rule. Secondary objection: 'GeniusVets handles our marketing' — answer that the voice line sits in front of the phone, not the website, and coexists with their site.</t>
        </is>
      </c>
      <c r="AC11" s="8" t="inlineStr">
        <is>
          <t>'Hi, this is Sam with Eat 4 Life Marketing — and full disclosure, this is a cold call, so you're welcome to hang up on me. I'm calling because your careers page is looking for a receptionist who can juggle several phone lines, and I noticed you're closed all day Wednesdays and weekends. We build a receptionist trained on Compassionate Care's own website — it picks up the calls that would hit voicemail, sends true emergencies straight to Carolina Veterinary Specialists, and books the rest for your front desk to confirm. Can I take 20 seconds to explain how it works, and then you decide whether it's worth a demo number you can call yourself?' (If Teresa answers: 'Hi, is this Teresa? Sam with Eat 4 Life Marketing — this is a cold call…' then same hook, and ask whether she or Dr. Johnson decides on front-desk tools.)</t>
        </is>
      </c>
      <c r="AD11" s="8" t="inlineStr">
        <is>
          <t>Tue or Thu 10:00–11:30 AM ET (after the 7:30 check-in rush, before lunch), fallback Mon/Tue/Thu 4:30–5:20 PM ET near close. Never Wednesday (closed all day) and not Fri 12–2 PM (closed for lunch). Dr. Johnson is the only DVM listed, so she is in exam rooms most of the day — ask Teresa (Office Manager, 'most often the voice clients first hear') when Dr. Johnson takes vendor calls, or pitch Teresa as the champion.</t>
        </is>
      </c>
      <c r="AE11" s="8" t="inlineStr">
        <is>
          <t>From the website (GBP not fetchable this run): 'Monday - Thursday: 7:30 am – 5:30 pm' but banner 'We are CLOSED all day on Wednesdays' / 'Wednesdays - Closed All Day'; 'Friday: 7:30 am – 12pm; 2 – 5:30pm'; 'Saturday and Sunday: Closed'. Net: open Mon, Tue, Thu 7:30–5:30, Fri 7:30–12 and 2–5:30; closed Wed, Sat, Sun.</t>
        </is>
      </c>
      <c r="AF11" s="8" t="inlineStr">
        <is>
          <t>America/New_York (Eastern)</t>
        </is>
      </c>
      <c r="AG11" s="8" t="inlineStr">
        <is>
          <t>Who answers: Teresa Fesmire, Office Manager and Lead Receptionist — 'she is most often the voice clients first hear' (site); she also runs inventory. BBB separately lists 'Lynn Wingard, Practice Manager' (possibly stale — not on the current site; use Teresa). No answering service or IVR mentioned; after hours the line is not covered (site refers to outside ER). Dr. Johnson is the only DVM, so she is in rooms — Teresa is the realistic first contact and a natural champion (the niche playbook says go through the practice manager with a calm, low-pressure note). Ask for 'Dr. Johnson' by name; if unavailable, give Teresa the demo number and ask for a 5-minute window on Tue/Thu. Second published number: (704) 847-4796 (BBB) — may be an older main line; do not assume it is a direct line. No owner cell published.</t>
        </is>
      </c>
      <c r="AH11" s="8" t="inlineStr">
        <is>
          <t>The live Veterinary Receptionist posting (page last modified 2026-09-07 per sitemap.xml) that asks for 'Ability to multitask, managing several phone lines and several functions at once', paired with the hospital being closed all day Wednesdays and weekends while the homepage carries a '24/7 Emergency Info' button that sends callers to an outside ER. Source: https://www.charlottepetdoctor.com/about-us/careers/veterinary-receptionist and https://www.charlottepetdoctor.com/</t>
        </is>
      </c>
      <c r="AI11" s="8" t="inlineStr">
        <is>
          <t>(a) Receptionist job post: 'Ability to multitask, managing several phone lines and several functions at once'; 'manage client communication through phone and email'; 'type and deliver messages from client to doctor' (https://www.charlottepetdoctor.com/about-us/careers/veterinary-receptionist). (b) One lead receptionist who also runs inventory: 'As Lead Receptionist, she is most often the voice clients first hear' (https://www.charlottepetdoctor.com/about-us/staff/support-staff/teresa-fesmire). (c) Coverage gap: 'We are CLOSED all day on Wednesdays'; 'Saturday and Sunday: Closed'; 'Friday: 7:30 am – 12pm; 2 – 5:30pm' while the homepage advertises '24/7 Emergency Info' and 'CCVH of Charlotte is prepared to handle a wide array of medical emergencies' (https://www.charlottepetdoctor.com/). (d) Booking friction: request form only, CAPTCHA, no response-time promise ('Please use this form to request an appointment. You may also contact our office at (704) 486-2571'). (e) Tech job post also asks for 'consistent and timely follow up calls and care' — follow-up calls are a staffed, manual task. No review-based phone complaints could be checked this run.</t>
        </is>
      </c>
      <c r="AJ11" s="8" t="inlineStr">
        <is>
          <t>Veterinary Receptionist and Veterinary Technician/Assistant posting pages last modified 2026-09-07 (sitemap.xml; posting dates not shown on-page) — within 60 days; homepage and all emergency pages refreshed 2026-03-16/17 (sitemap); owner bio page modified 2026-03-16; Western NC donation drive post (2024-12-04) and 2024 Toy Drive post (2025-01-08). JSON-LD declares 'isAcceptingNewPatients': 'True' — not capacity-capped.</t>
        </is>
      </c>
      <c r="AK11" s="8" t="inlineStr">
        <is>
          <t>(1) Hiring post, site careers page (modified 2026-09-07): receptionist must have 'Ability to multitask, managing several phone lines and several functions at once' and 'manage client communication through phone and email' — https://www.charlottepetdoctor.com/about-us/careers/veterinary-receptionist. (2) Website: one named front-desk person, 'As Lead Receptionist, she is most often the voice clients first hear' (also Inventory Manager) — https://www.charlottepetdoctor.com/about-us/staff/support-staff/teresa-fesmire. (3) Page source: every GeniusVets integration slot is empty (vetstoria_id, otto_id, tawk_id, petsapp_id, facebook_pixel_id = ''), so no online booking, no chat, no text widget; appointments are a CAPTCHA request form with no response-time promise — https://www.charlottepetdoctor.com/forms/request-veterinary-appointment. (4) Website: 'We are CLOSED all day on Wednesdays', 'Saturday and Sunday: Closed'; after-hours and urgent care referred to Carolina Veterinary Specialists and Skyline Veterinary Specialists — https://www.charlottepetdoctor.com/services/emergency-vet. (5) Growth signal: two openings (Veterinary Receptionist, Veterinary Technician/Assistant) — https://www.charlottepetdoctor.com/about-us/careers. No contradicting signal found; review-response behavior could not be sampled (Google/Yelp/Facebook not fetchable), which caps confidence at medium.</t>
        </is>
      </c>
      <c r="AL11" s="8" t="inlineStr">
        <is>
          <t>Per her practice bio (https://www.charlottepetdoctor.com/about-us/staff/veterinarians/dr-trish-johnson): Oswego State University (biology major, chemistry minor); DVM, Ross University School of Veterinary Medicine, 2005; began in a large mixed-animal emergency practice in upstate New York; April 2005 joined Help The Cats (feral-cat spay/neuter charity, Perry, NY); moved to the Charlotte area in 2007 and has worked as a companion-animal veterinarian there since; enjoys medical challenges, internal medicine, surgery, and 'educating and interacting with clients'. Keeps dogs, cats, a horse and chickens (bio). Sole DVM listed on the site; owner of a practice BBB dates to 1985.</t>
        </is>
      </c>
      <c r="AM11" s="8" t="inlineStr">
        <is>
          <t>Warm, compassion-led, client-education oriented. Cues: practice name and tagline copy ('unparalleled service'); bio says she enjoys 'educating and interacting with clients'; careers page: 'Strives to support a family-focused culture filled with warm, positive, fun-loving members'; receptionist post asks for 'Intense compassion for patients, clients and coworkers' and 'positive, thorough communication and phone decorum'; office manager bio: 'enjoys working alongside of Dr. Johnson and staff because of the family feel'. Plain-spoken on money: 'Payment is expected when services are rendered... we do not bill.' Community: 2024 toy drive (Matthews Help Center) and Western NC disaster donation drive. Emergency-medicine roots (first job was a mixed-animal emergency practice) — she will care that emergencies route to a human/ER instantly. Tone to mirror: warm_personal, not salesy; no 'AI' in the subject line.</t>
        </is>
      </c>
      <c r="AN11" s="8" t="inlineStr">
        <is>
          <t>Owner-operator</t>
        </is>
      </c>
      <c r="AO11" s="8" t="inlineStr">
        <is>
          <t>Not found (no LinkedIn href on the site; X-ray search not possible — WebSearch budget exhausted this run; LinkedIn direct fetch is login-walled)</t>
        </is>
      </c>
      <c r="AP11" s="8" t="inlineStr">
        <is>
          <t>Practice accounts only (all linked from site footer): Facebook https://www.facebook.com/CharlottePetDoctor/ (login-walled this run), Instagram https://www.instagram.com/compassionatecarevh/ (429 this run), X https://x.com/CompassionateVH (402 this run). Posting recency not verified. No personal owner accounts found.</t>
        </is>
      </c>
      <c r="AQ11" s="8" t="inlineStr">
        <is>
          <t>https://www.charlottepetdoctor.com</t>
        </is>
      </c>
      <c r="AR11" s="8" t="inlineStr">
        <is>
          <t>info@charlottepetdoctor.com (Confirmed: mailto on homepage/forms page + JSON-LD contactPoint email; MX lookup not possible in this sandbox)</t>
        </is>
      </c>
      <c r="AS11" s="8" t="inlineStr">
        <is>
          <t>9300 Monroe Rd, Charlotte, NC 28270</t>
        </is>
      </c>
      <c r="AT11" s="8" t="inlineStr">
        <is>
          <t>28270</t>
        </is>
      </c>
      <c r="AU11" s="8" t="inlineStr">
        <is>
          <t>Charlotte, NC (JSON-LD areaServed 'Charlotte, NC'); Monroe Rd corridor, southeast Charlotte near Matthews</t>
        </is>
      </c>
      <c r="AV11" s="8" t="inlineStr">
        <is>
          <t>https://maps.app.goo.gl/w1PA6AhXcFj9PoN77 (resolves to https://www.google.com/maps/place/Compassionate+Care+Veterinary+Hospital+of+Charlotte/ place id 0x8854214010e3f011:0xa3d2e209276b37d1)</t>
        </is>
      </c>
      <c r="AW11" s="8" t="inlineStr">
        <is>
          <t>Not found (Google Maps returned a JS shell; Yelp 403; WebSearch budget exhausted this run)</t>
        </is>
      </c>
      <c r="AX11" s="8" t="inlineStr">
        <is>
          <t>Not found (same; BBB shows 0 BBB reviews and 0 complaints in 3 years)</t>
        </is>
      </c>
      <c r="AY11" s="8" t="inlineStr">
        <is>
          <t>Practice foundingDate 1985-10-01 per BBB structured data; current owner Dr. Trish Johnson earned her DVM in 2005 and has practiced in Charlotte since 2007 (site bio), so she most likely took over an existing practice — ownership start date not published (hypothesis, unconfirmed). OpenCorporates incorporation date is login-gated.</t>
        </is>
      </c>
      <c r="AZ11" s="8" t="inlineStr">
        <is>
          <t>9 employees (BBB 'Number of Employees'); site names 1 DVM (Dr. Johnson) + 1 Office Manager/Lead Receptionist (Teresa Fesmire); currently hiring a Veterinary Receptionist and a Veterinary Technician/Assistant</t>
        </is>
      </c>
      <c r="BA11" s="8" t="inlineStr">
        <is>
          <t>1 (9300 Monroe Rd; no other location on site or BBB; Maps pin count not verifiable this run)</t>
        </is>
      </c>
      <c r="BB11" s="8" t="inlineStr">
        <is>
          <t>Companion-animal general practice; non-critical emergency care ('prepared to handle a wide array of medical emergencies'); surgery and internal medicine (owner bio); dog grooming (/services/dogs/dog-grooming); palliative/hospice care (blog); prescription refill requests; cat-friendly practice; Fear Free link; AAHA logo; CareCredit accepted</t>
        </is>
      </c>
      <c r="BC11" s="8" t="inlineStr">
        <is>
          <t>basic — SSL, Drupal site by GeniusVets with LocalBusiness + MedicalOrganization JSON-LD, GTM-T9G3JZ7, CareCredit; no online booking, no chat/text widget, no pixel (all integration IDs empty in source); site claims 'phone, email, text or our new App' but no app link or text number found</t>
        </is>
      </c>
      <c r="BD11" s="8" t="inlineStr">
        <is>
          <t>agency_managed (web only) — 'Veterinary websites by GeniusVets' footer credit and GTM; no ads, call tracking, or review-request tooling detected</t>
        </is>
      </c>
      <c r="BE11" s="8" t="inlineStr">
        <is>
          <t>established (practice dated 1985 per BBB; owner in Charlotte since 2007; 9 staff; homepage/emergency pages refreshed March 2026) with active hiring of 2 roles</t>
        </is>
      </c>
      <c r="BF11" s="8" t="inlineStr">
        <is>
          <t>unknown — Google Maps returned a JS shell, Yelp 403, Facebook login-walled; could not sample replies</t>
        </is>
      </c>
      <c r="BG11" s="8" t="inlineStr">
        <is>
          <t>hours_only — closed Wed/Sat/Sun and Fri 12–2; no answering service, call center, voicemail text, or AI receptionist mentioned anywhere on site or in page source. Homepage '24/7 Emergency Info' button leads to a referral page: 'For Emergency After Hours: Carolina Veterinary Specialists' (704) 815-3939 and 'For Urgent Care: Skyline Veterinary Specialists' (704) 612-5590. GBP hours/attributes not fetchable this run.</t>
        </is>
      </c>
      <c r="BH11" s="8" t="inlineStr">
        <is>
          <t>No — 'Schedule an Appointment' / 'Request an Appointment' both go to a request form (/forms/request-veterinary-appointment: name, phone, email, patient name, preferred date/time, message, CAPTCHA) with no availability, no confirmation, and no response-time promise; Vetstoria integration ID empty in source</t>
        </is>
      </c>
      <c r="BI11" s="8" t="inlineStr">
        <is>
          <t>None — tawk_id, otto_id, petsapp_id, simplifeye_id all empty in page source; no 'text us' link; copy says 'We communicate on your terms, whether it be phone, email, text or our new App' but no text number or app link is published</t>
        </is>
      </c>
      <c r="BJ11" s="8" t="inlineStr">
        <is>
          <t>GeniusVets (Drupal site + resource articles, footer credit); Google Tag Manager GTM-T9G3JZ7; CareCredit (payment-options page); AAHA logo link; Fear Free Happy Homes link; unused GeniusVets integration slots: Otto, Tawk, Vetstoria, PetsApp, VetPawer, Simplifeye, Covetrus survey, Cherry financing, Facebook pixel, OpenAI pixel (all empty)</t>
        </is>
      </c>
      <c r="BK11" s="8" t="inlineStr">
        <is>
          <t>Not found — Google Ads Transparency Center page for charlottepetdoctor.com showed no advertiser (render possibly truncated); Meta Ad Library returned 403; no fbq/gclid/CallRail in page source; Google LSA and Yelp Ads not checked (WebSearch budget exhausted)</t>
        </is>
      </c>
      <c r="BL11" s="8" t="inlineStr">
        <is>
          <t>not checked — Perplexity returned 403, ChatGPT/Gemini not reachable from this sandbox, WebSearch budget exhausted. Named in 0 of 0 AI answers (no platform checkable). Schema note: site has LocalBusiness + MedicalOrganization JSON-LD (GeniusVets template) but no FAQPage schema. Money questions to run (geo/money-questions/veterinary.json): 'best vet in Charlotte, NC', 'emergency vet near Charlotte, NC', 'vet taking new patients Charlotte, NC'.</t>
        </is>
      </c>
      <c r="BM11" s="8" t="inlineStr">
        <is>
          <t>PASS. Chain/franchise/corporate: no — domestic Professional Corporation, registered agent Trish M Johnson, one location, no parent in footer. Website: live own domain. Live US business: NC entity 'Current Active' (OpenCorporates), BBB A+, site updated Sept 2026. Inbound channel: phone + forms. Not a competitor/non-buyer. Not already automated (no AI receptionist/chat; integration IDs empty). Niche-playbook: not a corporate brand, not a 24-hour ER, 1 location, not mobile-only, not a shelter. Suppression.csv and seen.csv: no match by domain or name. GHL 'E4L Services' dedupe (ghl-contacts.js) NOT run in this pass — run before load.</t>
        </is>
      </c>
      <c r="BN11" s="8" t="inlineStr">
        <is>
          <t>D1 Decision-maker: 8/20 — full name + role cited from 3 sources (site 'Practice Owner and Veterinarian', BBB 'President', NC entity registered agent 'Johnson, Trish M') but only a generic mailbox (info@) and no direct line/LinkedIn found; call-first route. | D2 Phone/after-hours gap: 15/15 — 'Call Us: (704) 486-2571' in header (8 tel occurrences), vet is on the inherently-urgent list, hours string 'We are CLOSED all day on Wednesdays' + 'Saturday and Sunday: Closed' while homepage shows '24/7 Emergency Info', after-hours sent to an outside ER, and no answering service/AI receptionist mentioned anywhere (hours from site; GBP not fetchable). | D3 Lead-response leak: 10/15 — exactly 2 signal types: (2) live receptionist job post on site careers page (page modified 2026-09-07) and (5) booking friction verified in page source (no scheduler, no chat/text, form with no response promise); review signals (1),(3),(4) not checkable this run; (6) BBB 0 complaints. | D4 AI search gap: 0/10 NO EVIDENCE — no AI platform could be checked (Perplexity 403, search budget exhausted); site has LocalBusiness/MedicalOrganization JSON-LD, no FAQPage. | D5 ICP fit/ability to pay: 15/15 — independent 1-location P.A. with named owner; veterinary is a core niche; 3 proxies: 3+ years (BBB founding 1985; owner in Charlotte since 2007; office manager 'over 8 years'), headcount (BBB 9 employees), consumer financing (CareCredit on payment-options page). Caveat: 1-DVM practice, budget on the smaller side. | D6 Buying signals: 11/15 — trigger within 60 days (receptionist posting page modified 2026-09-07) with no paid-media signal found; spend checklist: (a) Google Ads none seen/no gclid or CallRail, (b) LSA not checked, (c) Meta Ad Library blocked, (d) GeniusVets agency + GTM present, (e) no paid tools detected. | D7 Attitude/incumbent: 6/10 — positives: modern site (©2026, SSL, pages refreshed Mar/Sep 2026), consumer financing, growth posture (hiring 2 roles); no negatives; GeniusVets (bundled vertical vet agency) present → capped at 6; review replies/social not samplable. | TOTAL 65 = QUALIFIED (55–74). TRUSTED on 6 of 7 dimensions with evidence, D1 positive, D2/D3 direct, D5 cited — except the GHL dedupe step was not run (run ghl-contacts.js before load). If the GEO spot-check is run and lands 'Named in 0 of 6' (D4 = 10) the row reaches 75 = SEND TODAY.</t>
        </is>
      </c>
      <c r="BO11" s="8" t="inlineStr">
        <is>
          <t>https://www.charlottepetdoctor.com/about-us/careers/veterinary-receptionist, https://www.charlottepetdoctor.com/about-us/staff/veterinarians/dr-trish-johnson, https://www.charlottepetdoctor.com/, https://www.charlottepetdoctor.com/services/emergency-vet, https://www.charlottepetdoctor.com/about-us/staff/support-staff/teresa-fesmire, https://www.bbb.org/us/nc/charlotte/profile/veterinarian/compassionate-care-veterinary-hospital-of-charlotte-0473-101460, https://opencorporates.com/companies/us_nc/1154703, https://www.charlottepetdoctor.com/forms/request-veterinary-appointment, https://www.charlottepetdoctor.com/about-us/payment-options, https://www.charlottepetdoctor.com/about-us/careers, https://www.charlottepetdoctor.com/about-us/careers/veterinary-technician-assistant, https://www.charlottepetdoctor.com/sitemap.xml, https://www.charlottepetdoctor.com/review-us, https://www.charlottepetdoctor.com/about-us/in-the-news, https://www.charlottepetdoctor.com/about-us/news/donate-make-difference-western-nc, https://www.charlottepetdoctor.com/about-us/news/support-our-2024-toy-drive-local-children-need, https://www.charlottepetdoctor.com/resources/forms, https://maps.app.goo.gl/w1PA6AhXcFj9PoN77, https://www.facebook.com/CharlottePetDoctor/, https://www.instagram.com/compassionatecarevh/, https://x.com/CompassionateVH, https://adstransparency.google.com/?region=US&amp;domain=charlottepetdoctor.com</t>
        </is>
      </c>
      <c r="BP11" s="8" t="inlineStr">
        <is>
          <t>Medium</t>
        </is>
      </c>
      <c r="BQ11" s="8" t="inlineStr">
        <is>
          <t>Title detail: Practice Owner and Veterinarian (site); President (BBB 'Business Management'); registered agent 'Johnson, Trish M' on the NC entity record (OpenCorporates us_nc/1154703). Legal entity note: legal: Compassionate Care Veterinary Hospital of Charlotte, P.A.. 1) Score is 65 QUALIFIED, call-first (D1 = 8: generic info@ only). Run the GEO spot-check (3 vet money questions x 2 platforms) — if she is named in 0 of 6, D4 = 10 and the row reaches 75 = SEND TODAY. 2) Build the voice demo from charlottepetdoctor.com (D2 = 15, demo_build = yes); script must route emergencies to Carolina Veterinary Specialists (704) 815-3939 / Skyline urgent care (704) 612-5590 immediately. 3) Not verified this run: Google rating/review count, owner reply behavior, Facebook/Instagram/X recency, LinkedIn, ads (Meta 403, Google Ads Transparency inconclusive), GBP hours — all blocked/JS-walled and WebSearch budget was exhausted mid-run. 4) GHL 'E4L Services' dedupe (ghl-contacts.js) not run — do it before load. 5) GeniusVets builds their site and sells vet SEO; the voice agent is the clean wedge, pitch GEO/website work second. 6) Hours conflict on their own site ('Monday - Thursday' vs 'CLOSED all day on Wednesdays') — treat Wednesday as closed; that line is also a safe, neutral opener. 7) Owner bio has personal/family detail — do not reference it; stick to her emergency-practice background, client-education focus, and the community drives. 8) Medical compliance: no promised outcomes, minimal health detail; the agent never triages. 9) BBB founding 1985 vs owner since 2007 suggests an acquired practice — unconfirmed; do not state it to her. 10) 1-DVM, 9-staff practice: Recover is first-fit but budget may push to the solo voice agent — no prices in email.</t>
        </is>
      </c>
      <c r="BR11" s="10" t="inlineStr"/>
      <c r="BS11" s="10" t="inlineStr"/>
      <c r="BT11" s="10" t="inlineStr"/>
    </row>
    <row r="12" ht="120" customHeight="1">
      <c r="A12" s="8" t="inlineStr">
        <is>
          <t>20261012-11</t>
        </is>
      </c>
      <c r="B12" s="8" t="inlineStr">
        <is>
          <t>2026-10-12</t>
        </is>
      </c>
      <c r="C12" s="8" t="n">
        <v>1</v>
      </c>
      <c r="D12" s="10" t="inlineStr"/>
      <c r="E12" s="10" t="inlineStr">
        <is>
          <t>New</t>
        </is>
      </c>
      <c r="F12" s="8" t="n">
        <v>63</v>
      </c>
      <c r="G12" s="8">
        <f>IF(F12="","",IF(F12&gt;=80,"A — send today",IF(F12&gt;=60,"B — worth a touch",IF(F12&gt;=40,"C — hold","D — reject"))))</f>
        <v/>
      </c>
      <c r="H12" s="8" t="inlineStr">
        <is>
          <t>UB Code Roofing +</t>
        </is>
      </c>
      <c r="I12" s="8" t="inlineStr">
        <is>
          <t>Cynthia</t>
        </is>
      </c>
      <c r="J12" s="8" t="inlineStr">
        <is>
          <t>Smith</t>
        </is>
      </c>
      <c r="K12" s="8" t="inlineStr">
        <is>
          <t>President/CFO</t>
        </is>
      </c>
      <c r="L12" s="8" t="inlineStr">
        <is>
          <t>cynthia@ubcoderoofing.com</t>
        </is>
      </c>
      <c r="M12" s="8" t="inlineStr">
        <is>
          <t>Personal (named)</t>
        </is>
      </c>
      <c r="N12" s="8" t="inlineStr">
        <is>
          <t>Confirmed on source (literally displayed on claimed Trustpilot profile https://www.trustpilot.com/review/ubcoderoofing.com); Rozel deliverability verify still required before send</t>
        </is>
      </c>
      <c r="O12" s="8" t="inlineStr">
        <is>
          <t>Not found (no number tied to Cynthia or Ronnie on any public page; the only numbers published are the company lines above)</t>
        </is>
      </c>
      <c r="P12" s="8" t="inlineStr">
        <is>
          <t>+1 303-458-3790 (BBB, Trustpilot, HomeAdvisor, Aurora Chamber). +1 303-225-4620 is the site number and is also listed beside Cynthia Smith on the Aurora Chamber member page, so it rings the business too; dial either, log which</t>
        </is>
      </c>
      <c r="Q12" s="8" t="inlineStr">
        <is>
          <t>Roofing (residential + commercial; storm/hail and insurance-claim work)</t>
        </is>
      </c>
      <c r="R12" s="8" t="inlineStr">
        <is>
          <t>core</t>
        </is>
      </c>
      <c r="S12" s="8" t="inlineStr">
        <is>
          <t>Aurora</t>
        </is>
      </c>
      <c r="T12" s="8" t="inlineStr">
        <is>
          <t>CO</t>
        </is>
      </c>
      <c r="U12" s="8" t="inlineStr">
        <is>
          <t>Their own Sept 11 blog is pushing fall roof replacements while hours shrink to Sat-morning/Sun-closed, so hail-claim inquiries are still arriving after a next-business-day callback promise; a fresh Oct 3 owner reply gives a warm, current opener this week.</t>
        </is>
      </c>
      <c r="V12" s="8" t="inlineStr">
        <is>
          <t>Family-Legacy Pride Brand (secondary: none strong; some Tech-Forward signals via Podium chat/text and claimed Trustpilot)</t>
        </is>
      </c>
      <c r="W12" s="8" t="inlineStr">
        <is>
          <t>Voice AI live demo line built from ubcoderoofing.com (door-opener: demo_build = yes; D2 = 15). Pair with missed-call text-back into their existing Podium/Hibu stack. Run the free GEO audit before send so the "Named in X of 28" line is available as the second ask.</t>
        </is>
      </c>
      <c r="X12" s="8" t="inlineStr">
        <is>
          <t>Recover</t>
        </is>
      </c>
      <c r="Y12" s="8" t="inlineStr">
        <is>
          <t>Who picks up Sunday at UB Code Roofing</t>
        </is>
      </c>
      <c r="Z12" s="8" t="inlineStr">
        <is>
          <t>Your site says UB Code answers seven days a week, but the hours show Saturday ending at 1pm and Sunday closed, so I got curious who catches the hail-damage calls that come in after that.</t>
        </is>
      </c>
      <c r="AA12" s="8" t="inlineStr">
        <is>
          <t>Ask for Cynthia or Ronnie by name; mention you read Cynthia's note that she and Ronnie "took that weight off" a customer's shoulders. Then: "Ronnie is on roofs doing inspections himself, and your site promises next-business-day callbacks, so the Saturday-afternoon and Sunday calls after a storm are landing on voicemail. We built a demo receptionist trained on your own website; call it, hear it book a roof inspection, and tell us if it sounds like UB Code." Close on the Game Plan Call or Cynthia's email for the demo number.</t>
        </is>
      </c>
      <c r="AB12" s="8" t="inlineStr">
        <is>
          <t>"We already pay Hibu and Podium, our phones are handled." — Keep both; this only takes the calls that already roll to voicemail after 1pm Saturday and on Sundays, books them, and texts back every missed call, and you hear it on the demo line before anything changes.</t>
        </is>
      </c>
      <c r="AC12" s="8" t="inlineStr">
        <is>
          <t>Hi, is this Cynthia? Cynthia, this is Sam with Eat 4 Life Marketing. Full disclosure, this is a cold call; you can hang up, or give me twenty seconds and decide. I was on ubcoderoofing.com and it says UB Code answers seven days a week, but your hours show Saturday ending at one and Sunday closed, so I got curious who catches the hail-damage calls after that, because that homeowner usually just calls the next roofer on Google. We build a receptionist trained on your own company that answers every one of those calls and books the inspection, and you can call the demo line and hear it before you pay a dollar. Can I take twenty seconds to show you how it works?</t>
        </is>
      </c>
      <c r="AD12" s="8" t="inlineStr">
        <is>
          <t>Tue-Thu 8:00-9:00 AM MT, right at office open and before Ronnie heads out (HomeAdvisor/Trustpilot reviews say Ronnie does inspections himself; Cynthia runs the office and insurance paperwork, so she is the one at the desk at 8). Fallback: Tue-Thu 4:00-4:45 PM MT before the 5 PM close. Skip Monday mornings (post-weekend storm backlog) and Saturdays (half day per site, closed per other listings).</t>
        </is>
      </c>
      <c r="AE12" s="8" t="inlineStr">
        <is>
          <t>Site (/contact): Mon-Fri 8:00 AM-5:00 PM; Sat 8:00 AM-1:00 PM; Sun Closed; footer claims "We answer 7 days a week." Third-party listings differ: cityof.com shows Mon-Fri 8-5, Sat/Sun closed; Aurora Chamber shows Mon-Fri 8-4. Google Business Profile hours not verified.</t>
        </is>
      </c>
      <c r="AF12" s="8" t="inlineStr">
        <is>
          <t>MT</t>
        </is>
      </c>
      <c r="AG12" s="8" t="inlineStr">
        <is>
          <t>No office manager, dispatcher, or answering service named on the site, BBB, Chamber, Trustpilot, or HomeAdvisor. Cynthia Smith is the office: Aurora Chamber lists her as the member contact (with (303) 225-4620) and reviewers credit her with insurance and mortgage paperwork, so an 8 AM call likely reaches her directly. Ronnie Smith (VP, "the owner" to reviewers) is in the field; if he answers, pitch him as co-owner. Staff names seen in 2026 reviews: Jonathan and Ramone (crew/PM level, not phone). Lines: (303) 458-3790 (BBB/Trustpilot/HomeAdvisor main) and (303) 225-4620 (site and Chamber; Hibu phone-swap script present, but it is listed under Cynthia's name so it rings the business). After hours, expect voicemail (no 24/7 claim anywhere; callback form promises next business day); leave a 10-second voicemail naming the Trustpilot note "Ronnie and I could take that weight off your shoulders" and follow with the Podium text widget on the site. Open with "Is Cynthia in?" rather than asking for "the owner." Do not mention veteran status; do not quote Google review counts or Saturday hours as fact.</t>
        </is>
      </c>
      <c r="AH12" s="8" t="inlineStr">
        <is>
          <t>Cynthia's Oct 3, 2026 Trustpilot reply — "We're glad Ronnie and I could take that weight off your shoulders" (https://ca.trustpilot.com/review/ubcoderoofing.com) — paired with the neutral observation that the footer promises "We answer 7 days a week" while hours show Sunday closed (https://ubcoderoofing.com/contact). Opener in Sebastian's voice (under 25 words): "Cynthia, your note about taking the weight off a customer's shoulders stuck with me; who carries the Sunday calls when you and Ronnie can't?"</t>
        </is>
      </c>
      <c r="AI12" s="8" t="inlineStr">
        <is>
          <t>(1) Hours gap vs. promise: footer "We answer 7 days a week." while hours read "Saturday: 8:00 am - 1:00 pm, Sunday: Closed" (https://ubcoderoofing.com/ and /contact). (2) Slow-response promise on the only scheduling path: Request Call Back form — a representative "will contact you by the next business day" (https://ubcoderoofing.com/request-call-back). (3) Emergency positioning without after-hours coverage stated: "Swift Emergency Responses", "In roof emergencies, time is crucial. The quicker you reach out, the sooner we can fix the problem" (https://ubcoderoofing.com/emergency-roof-repair) and no 24/7, answering-service or AI-receptionist mention anywhere. (4) No online scheduler; phone + callback form only. (5) Owner-operator field load: "Ronnie Smith, the owner, did my last roof damage inspection" (Trustpilot, review dated Jun 18, 2025) — the owner is on roofs when the phone rings. Logged nulls: no reachability complaints found on Trustpilot (15), HomeAdvisor (72) or BBB (0 complaints); reviews praise responsiveness ("He is responsive, easily available" — HomeAdvisor, Mar 2024). Google reviews, Yelp (403) and job boards not readable this run.</t>
        </is>
      </c>
      <c r="AJ12" s="8" t="inlineStr">
        <is>
          <t>Sep 14, 2026: Colorado SOS filing (registered agent info change — routine, confirms active entity; https://opencorporates.com/companies/us_co/20041353997). Sep 11, 2026: blog "Is September Too Late for a Colorado Roof Replacement? (No — Here's Why)" — actively pushing fall replacement inquiries (https://ubcoderoofing.com/blog). May 14, 2026: "The New &amp; Improved UB Code Neighbor Circle" referral-reward relaunch. Oct 2025: Trustpilot profile claimed; 3 new Trustpilot reviews Sep–Oct 2026. Site appears recently rebuilt (2026 copyright, placeholder copy still on About page) — redesign date not verified. Seasonal: Colorado hail-claim season tail (insurance work continuing into fall). No hiring found (Indeed company page 404; job boards not searchable this run). No ownership change, award or new location found.</t>
        </is>
      </c>
      <c r="AK12" s="8" t="inlineStr">
        <is>
          <t>Website: "For more than 25 years, our local, family-run, woman-owned company has built a reputation for honest guidance, quality craftsmanship, and dependable service" (https://ubcoderoofing.com/); "Protecting Colorado Homes Since 1998"; BBB accredited since 11/23/1999, A+, 0 complaints (https://www.bbb.org/us/co/aurora/profile/roofing-contractors/ub-code-roofing--1296-21048581); Aurora Chamber member. Reviews: owners reply personally and sign as a couple — "Cynthia &amp; Ronnie, UB Code Roofing+" (Oct 3, 2026), "Ronnie &amp; Cynthia Smith" (Mar 15, 2026), "Cleanup is something Ronnie has never let slide in 50 years on roofs" (Sep 22, 2026) (https://ca.trustpilot.com/review/ubcoderoofing.com); reviewers name the owner on site: "Mr. Smith always stopped by to check on everything" (Feb 2, 2026). Four-plus signals across 3 source categories (site, reviews, BBB) — confidence high. No defensive or anti-marketing signals found.</t>
        </is>
      </c>
      <c r="AL12" s="8" t="inlineStr">
        <is>
          <t>Family-run, woman-owned roofing company founded 1998 in Aurora (site About: "Identifies as women-owned"; home: "our local, family-run, woman-owned company"). Ronnie Smith is the field principal: "Ronnie Smith, the owner, did my last roof damage inspection" (Trustpilot, review dated Jun 2025) and the company's Sep 22, 2026 reply says "Cleanup is something Ronnie has never let slide in 50 years on roofs"; HomeAdvisor highlights "37 years of experience". Cynthia runs the office side — reviewers credit her with insurance and mortgage paperwork (Trustpilot, Oct 2, 2026) and she writes replies ("Ronnie and I"). A "DeWayne Smith, project manager" appears in 2012–2018 HomeAdvisor reviews (STALE; relationship not stated). Prior career / military: Not found — BBB notes "Veteran ownership is indicated on the official website" but the site only shows veteran discounts, so treat veteran status as unverified and do not reference it. BBB accredited since 1999, Aurora Chamber of Commerce member, Owens Corning Preferred Contractor.</t>
        </is>
      </c>
      <c r="AM12" s="8" t="inlineStr">
        <is>
          <t>Tone: warm_personal, gratitude-heavy, slightly formal. Replies are signed as a couple: "Cynthia &amp; Ronnie, UB Code Roofing+" (Oct 3, 2026) and "Ronnie &amp; Cynthia Smith" (Mar 15, 2026). Voice lines: "We're glad Ronnie and I could take that weight off your shoulders" (Oct 3, 2026); "Clear communication and showing up when we say we will are things we take seriously" (Jan 19, 2026); "Cleanup is something Ronnie has never let slide in 50 years on roofs" (Sep 22, 2026). Brags: honest guidance, insurance advocacy, cleanup, on-time, 10-year workmanship warranty, BBB A+ since 1999, Chamber member. Replies to nearly every Trustpilot review within days, by name, no templating, no defensiveness. No podcasts, interviews or awards found. Site FAQ offers senior, veteran and first-time-customer discounts and a "Neighbor Circle" referral reward.</t>
        </is>
      </c>
      <c r="AN12" s="8" t="inlineStr">
        <is>
          <t>Owner-operator</t>
        </is>
      </c>
      <c r="AO12" s="8" t="inlineStr">
        <is>
          <t>https://www.linkedin.com/in/u-b-code-roofing-3145841b (linked from the site footer; a company-named personal-type profile; content not viewable this run — LinkedIn returned HTTP 999)</t>
        </is>
      </c>
      <c r="AP12" s="8" t="inlineStr">
        <is>
          <t>Facebook https://facebook.com/233183247115578 (site-linked; login wall this run); Instagram https://instagram.com/ub_code_roofing (site-linked; HTTP 429 this run); Trustpilot https://ca.trustpilot.com/review/ubcoderoofing.com (claimed Oct 2025, owners reply personally)</t>
        </is>
      </c>
      <c r="AQ12" s="8" t="inlineStr">
        <is>
          <t>https://ubcoderoofing.com</t>
        </is>
      </c>
      <c r="AR12" s="8" t="inlineStr">
        <is>
          <t>info@ubcoderoofing.com (Confirmed — on /contact and in the site's LocalBusiness JSON-LD; MX present: ubcoderoofing-com.mail.protection.outlook.com)</t>
        </is>
      </c>
      <c r="AS12" s="8" t="inlineStr">
        <is>
          <t>938 Salida Way, Aurora, CO 80011 (BBB, HomeAdvisor, OpenCorporates head office; Trustpilot profile shows ZIP 80249 — minor conflict, BBB/SOS value used)</t>
        </is>
      </c>
      <c r="AT12" s="8" t="inlineStr">
        <is>
          <t>80011</t>
        </is>
      </c>
      <c r="AU12" s="8" t="inlineStr">
        <is>
          <t>Aurora, Denver, Parker, Centennial, Littleton, Englewood, Arvada, Boulder, Lakewood, Thornton, Northglenn, Westminster, Wheat Ridge, Commerce City, Elizabeth, Watkins, Colorado Springs; Adams, Douglas and Arapahoe counties (https://ubcoderoofing.com/ and /request-call-back)</t>
        </is>
      </c>
      <c r="AV12" s="8" t="inlineStr">
        <is>
          <t>Not found (GBP not opened this run — web-search budget exhausted; Lantern directory returned 403 on re-check)</t>
        </is>
      </c>
      <c r="AW12" s="8" t="inlineStr">
        <is>
          <t>Not verified (Lantern 404; GBP not opened) - do not quote</t>
        </is>
      </c>
      <c r="AX12" s="8" t="inlineStr">
        <is>
          <t>Not verified for Google (Lantern 404). Verified: Trustpilot 15 / 4.5; HomeAdvisor 72 / 4.8; BBB 12 reviews, A+, 0 complaints</t>
        </is>
      </c>
      <c r="AY12" s="8" t="inlineStr">
        <is>
          <t>1998 — "Protecting Colorado Homes Since 1998" (site); BBB founding date 1998-09-30, accredited since 11/23/1999; JSON-LD foundingDate 1998; ~28 years. Colorado corporation #20041353997, Good Standing per OpenCorporates (formation date behind login).</t>
        </is>
      </c>
      <c r="AZ12" s="8" t="inlineStr">
        <is>
          <t>Not found (no BBB/LinkedIn headcount available). At least 4 named people in 2026 reviews (Ronnie, Cynthia, Jonathan, Ramone); site says "over 50 years of combined experience"; subcontract crews referenced in a 2017 HomeAdvisor review.</t>
        </is>
      </c>
      <c r="BA12" s="8" t="inlineStr">
        <is>
          <t>1 (938 Salida Way, Aurora; no other pins or location pages found)</t>
        </is>
      </c>
      <c r="BB12" s="8" t="inlineStr">
        <is>
          <t>Residential and commercial roofing (asphalt shingle, impact-resistant shingles, flat/low-slope EPDM/TPO/mod-bit, tile), roof repair, emergency roof repair, inspections and roof certification, storm/hail damage and insurance-claim help, gutters, siding, windows, exterior painting; Owens Corning Preferred Contractor; 10-year workmanship warranty; financing accepted (BBB)</t>
        </is>
      </c>
      <c r="BC12" s="8" t="inlineStr">
        <is>
          <t>modern — SSL, 2026 copyright, Podium webchat/text widget (connect.podium.com/widget.js), LocalBusiness/RoofingContractor JSON-LD, financing accepted, Trustpilot claimed; no online scheduler, no FAQPage schema</t>
        </is>
      </c>
      <c r="BD12" s="8" t="inlineStr">
        <is>
          <t>agency_managed — Hibu-built and hosted site (le-cdn.hibuwebsites.com assets, budurl.com/hibu policy links, Hibu phone-replacement script), steady Hibu-style blog (10 posts Apr–Sep 2026), Podium reviews/chat</t>
        </is>
      </c>
      <c r="BE12" s="8" t="inlineStr">
        <is>
          <t>established — 28 years, 150+ Google reviews (per directory), 3 Trustpilot reviews in the last 90 days, Neighbor Circle referral relaunch May 2026; no hiring or expansion signals found</t>
        </is>
      </c>
      <c r="BF12" s="8" t="inlineStr">
        <is>
          <t>personal — 14 of 15 Trustpilot reviews have a reply, most naming the customer, several signed by Cynthia and/or Ronnie; HomeAdvisor shows an owner reply as well; no negative reviews found to test defensiveness (Google replies not sampled this run)</t>
        </is>
      </c>
      <c r="BG12" s="8" t="inlineStr">
        <is>
          <t>Unknown / not stated. Published hours: "Mon - Fri: 8:00 am - 5:00 pm, Saturday: 8:00 am - 1:00 pm, Sunday: Closed" (https://ubcoderoofing.com/contact). Footer claims "Call (303) 225-4620 — We answer 7 days a week." and the emergency page says "Our team is ready to answer your call" and "Swift Emergency Responses", but there is no 24/7 claim and no mention anywhere (site, page source, BBB, Trustpilot) of an answering service, call center or AI receptionist. The Request Call Back form promises a representative "will contact you by the next business day" (https://ubcoderoofing.com/request-call-back). HomeAdvisor profile states "Emergency services are not offered." Podium text/webchat exists as a side channel.</t>
        </is>
      </c>
      <c r="BH12" s="8" t="inlineStr">
        <is>
          <t>N — "Schedule Your Free Roof Inspection" and "Schedule a Service Today!" both route to the Request Call Back form (next-business-day promise); no scheduler script in source (no calendly/acuity/servicetitan/housecallpro/jobber)</t>
        </is>
      </c>
      <c r="BI12" s="8" t="inlineStr">
        <is>
          <t>Y — Podium webchat/text widget loaded in page source (connect.podium.com/widget.js, id="podium-widget"); Trustpilot profile copy says "Call or text us today to schedule a service"</t>
        </is>
      </c>
      <c r="BJ12" s="8" t="inlineStr">
        <is>
          <t>Hibu (site builder/host: le-cdn.hibuwebsites.com, HIBU_PRODUCTION, budurl.com/hibu policy pages; Hibu phone-replacement script ybReplacePhNums — the displayed (303) 225-4620 is likely a tracking number while BBB/Trustpilot/HomeAdvisor list (303) 458-3790); Podium (chat/text widget, org token in source); Trustpilot (claimed profile Oct 2025); Microsoft 365 email (MX protection.outlook.com); BBB accreditation seal; Owens Corning Preferred Contractor; a Gemini-generated hero image asset (Gemini_Generated_Image_*.png) — suggests comfort with AI tools; About page still contains lorem-ipsum placeholder copy ("Phasellus magna velit...") — site build appears recent/in progress. No GTM/fbq/CallRail strings found.</t>
        </is>
      </c>
      <c r="BK12" s="8" t="inlineStr">
        <is>
          <t>Not observed. Google Ads Transparency Center page did not render results for ubcoderoofing.com; Meta Ad Library returned HTTP 403; Google LSA unit and Yelp not checked (web-search budget exhausted this run). Hibu bundles usually include paid search/display — unverified. Spend groups confirmed: (d) agency platform Hibu, (e) Podium.</t>
        </is>
      </c>
      <c r="BL12" s="8" t="inlineStr">
        <is>
          <t>not checked — web-search budget was exhausted before the two money-question checks could run; D4 scored 0 NO EVIDENCE. Site has LocalBusiness/RoofingContractor schema but no FAQPage schema. Run the GEO audit before any send.</t>
        </is>
      </c>
      <c r="BM12" s="8" t="inlineStr">
        <is>
          <t>PASS — Not a chain/franchise/roll-up: single-location Colorado domestic profit corporation U.B. Code Roofing Consultants, Inc. (#20041353997, Good Standing per OpenCorporates), no parent entity, no franchise language. Website live (HTTP 200, 537 KB, 2026 copyright, own domain). Operating: SOS filing Sep 14, 2026; Trustpilot reviews Sep–Oct 2026; BBB A+ accredited, 0 complaints. Inbound channel exists (phone + callback form + Podium chat). Not a competitor/non-buyer category. No competing AI receptionist found (Podium webchat only; no Smith.ai/Goodcall/etc. in source). Not on suppression.csv (grep for ubcode / ub code / ubcoderoofing: no match). GHL sub-account dedupe not run from this session.</t>
        </is>
      </c>
      <c r="BN12" s="8" t="inlineStr">
        <is>
          <t>D1 Decision-maker reachable: 20/20 — Cynthia D. Smith, President/CFO (BBB principal) + SOS registered agent Cynthia Diane Forney-Smith (OpenCorporates) + Person schema on site; named email cynthia@ubcoderoofing.com on the claimed Trustpilot profile (Likely — Rozel verify before send; MX present) + secondary channels: second line (303) 458-3790 distinct from site number, site-linked LinkedIn URL. | D2 Phone-coverage gap: 15/15 — phone-first (number in header/hero, CTA "Give Us a Call!"/Request Call Back); gap proofs: hours "Saturday 8:00 am - 1:00 pm, Sunday: Closed" while advertising "Swift Emergency Responses" (roofing = inherently urgent); callback form "will contact you by the next business day"; no 24/7 / answering-service / AI-receptionist mention anywhere. | D3 Lead-response leak: 0/15 — logged null: no reachability complaints on Trustpilot (15), HomeAdvisor (72), BBB (0 complaints); no front-office job post found (Indeed 404); Podium chat present so friction signal fails; reviews praise responsiveness. Google reviews/Yelp/job boards unreadable this run. | D4 AI search visibility: 0/10 — NO EVIDENCE: spot-check not run (search budget exhausted); schema present (LocalBusiness/RoofingContractor), no FAQPage. | D5 ICP fit / ability to pay: 15/15 — independent, 1 location, named owners, "family-run, woman-owned"; roofing core niche; proxies: since 1998 (site+BBB+SOS Good Standing), 155 Google reviews per directory + 72 HomeAdvisor + 15 Trustpilot, 4+ named staff, roofing ticket $8–15k + financing accepted, 17-city service area. | D6 Buying signals: 7/15 — only (d) Hibu agency platform and (e) Podium confirmed; no dated listed trigger within 60 days (blog post Sep 11 and routine SOS filing Sep 14 are soft); paid media unverified (Ads Transparency not rendered, Meta Ad Library 403, LSA not checked). | D7 Attitude / incumbent: 6/10 — positives: personal warm review replies signed by owners (Oct 3, 2026), modern 2026 Hibu site with SSL, tech adoption (Podium chat/text, financing); no negatives observed; but Hibu = bundled vertical agency incumbent, so capped at 6. TOTAL 63 = QUALIFIED. Status: TRUSTED (6 of 7 dimensions evidenced, D1 positive, D2 direct, D5 evidenced) — except GHL 'E4L Services' dedupe could not be run from this session (suppression.csv checked: clear). SEND TODAY gate not met because the D4 spot-check was not run.</t>
        </is>
      </c>
      <c r="BO12" s="8" t="inlineStr">
        <is>
          <t>https://ubcoderoofing.com/, https://ubcoderoofing.com/contact, https://ubcoderoofing.com/request-call-back, https://ubcoderoofing.com/emergency-roof-repair, https://ca.trustpilot.com/review/ubcoderoofing.com, https://www.trustpilot.com/review/ubcoderoofing.com, https://www.bbb.org/us/co/aurora/profile/roofing-contractors/ub-code-roofing--1296-21048581, https://www.bbb.org/us/co/aurora/profile/roofing-contractors/ub-code-roofing--1296-21048581/details, https://opencorporates.com/companies/us_co/20041353997, https://cost-guide-ssr.homeadvisor.com/rated.ubcoderoofing.1770240.html, https://ubcoderoofing.com/about, https://ubcoderoofing.com/team, https://ubcoderoofing.com/blog, https://www.linkedin.com/in/u-b-code-roofing-3145841b, https://facebook.com/233183247115578, https://instagram.com/ub_code_roofing, https://lantern.llc/co/aurora/home-services/roofing, https://dns.google/resolve?name=ubcoderoofing.com&amp;type=MX</t>
        </is>
      </c>
      <c r="BP12" s="8" t="inlineStr">
        <is>
          <t>Medium</t>
        </is>
      </c>
      <c r="BQ12" s="8" t="inlineStr">
        <is>
          <t>Title detail: President/CFO (BBB); 'one of the owners' in her own words on the Aurora Chamber listing. Legal entity note: legal: U.B. Code Roofing Consultants, Inc.. Two decision-makers: Cynthia Smith (President/CFO, office, insurance paperwork, writes and signs replies, owns the named email) and Ronnie Smith (VP, "the owner" in the field, "50 years on roofs"). Email Cynthia; have Sam ask for either. Call window: Mountain Time, 7:00–8:30am or 4:00–5:30pm; main line +1 303-458-3790 (site number 303-225-4620 is likely Hibu tracking — fine to dial, but log which one Sam used). Incumbent: Hibu (site, likely ads/call tracking) + Podium (chat/text, reviews) — position the voice agent strictly as after-hours/overflow phone coverage that books into what they already use; do not pitch a site rebuild even though the About page still has lorem-ipsum placeholder copy (that is a later AI-readable-site conversation). Podium now sells AI phone answering — Sam should ask "who answers after 1pm Saturday right now?" on the first call and update D2 if Podium or an answering service is live. Email is Likely, not Confirmed (claimed Trustpilot profile, Oct 2025; MX present) — Rozel verify before send. Do not mention veteran status (BBB hints it; site only shows veteran discounts). Family-Legacy type: respect the 1998 / BBB-since-1999 history, slightly formal, no slang, no "AI" in the subject. GHL E4L Services dedupe (ghl-contacts.js) was not run from this session — run before load. D4 GEO audit not run (search budget exhausted) — run before send; this row cannot enter SEND TODAY until then. Google reviews/GBP hours were not opened directly; verify GBP hours match the site before quoting them on a call. HomeAdvisor says "Emergency services are not offered" while the site advertises emergency repair — do not quote either; just ask.</t>
        </is>
      </c>
      <c r="BR12" s="10" t="inlineStr"/>
      <c r="BS12" s="10" t="inlineStr"/>
      <c r="BT12" s="10" t="inlineStr"/>
    </row>
    <row r="13" ht="120" customHeight="1">
      <c r="A13" s="8" t="inlineStr">
        <is>
          <t>20261012-12</t>
        </is>
      </c>
      <c r="B13" s="8" t="inlineStr">
        <is>
          <t>2026-10-12</t>
        </is>
      </c>
      <c r="C13" s="8" t="n">
        <v>1</v>
      </c>
      <c r="D13" s="10" t="inlineStr"/>
      <c r="E13" s="10" t="inlineStr">
        <is>
          <t>New</t>
        </is>
      </c>
      <c r="F13" s="8" t="n">
        <v>63</v>
      </c>
      <c r="G13" s="8">
        <f>IF(F13="","",IF(F13&gt;=80,"A — send today",IF(F13&gt;=60,"B — worth a touch",IF(F13&gt;=40,"C — hold","D — reject"))))</f>
        <v/>
      </c>
      <c r="H13" s="8" t="inlineStr">
        <is>
          <t>Eason Plumbing &amp; Drain Cleaning</t>
        </is>
      </c>
      <c r="I13" s="8" t="inlineStr">
        <is>
          <t>Cody</t>
        </is>
      </c>
      <c r="J13" s="8" t="inlineStr">
        <is>
          <t>Eason</t>
        </is>
      </c>
      <c r="K13" s="8" t="inlineStr">
        <is>
          <t>Owner</t>
        </is>
      </c>
      <c r="L13" s="8" t="inlineStr">
        <is>
          <t>jeremy@easonplumbing.com — belongs to Jeremy Eason (ProvenExpert contact, re-verified 2026-10-13), NOT to Cody Eason; Cody has no published email. Any email must be addressed to Jeremy or to the Eason family, never to Cody at this address.</t>
        </is>
      </c>
      <c r="M13" s="8" t="inlineStr">
        <is>
          <t>Personal (named)</t>
        </is>
      </c>
      <c r="N13" s="8" t="inlineStr">
        <is>
          <t>Likely</t>
        </is>
      </c>
      <c r="O13" s="8" t="inlineStr">
        <is>
          <t>Not found (unlabeled second lines: +1 615-617-0513 on ProvenExpert next to the main line; +1 615-249-4851 in site service-page CTAs — neither tied to a named person)</t>
        </is>
      </c>
      <c r="P13" s="8" t="inlineStr">
        <is>
          <t>+1 615-971-3226</t>
        </is>
      </c>
      <c r="Q13" s="8" t="inlineStr">
        <is>
          <t>Plumbing (residential service + drain/sewer, water heaters, repiping; some commercial/gas)</t>
        </is>
      </c>
      <c r="R13" s="8" t="inlineStr">
        <is>
          <t>core</t>
        </is>
      </c>
      <c r="S13" s="8" t="inlineStr">
        <is>
          <t>Lascassas (Murfreesboro / Rutherford County)</t>
        </is>
      </c>
      <c r="T13" s="8" t="inlineStr">
        <is>
          <t>TN</t>
        </is>
      </c>
      <c r="U13" s="8" t="inlineStr">
        <is>
          <t>The /get-a-quote/ page is live with an unconfigured Marketing 360 placeholder ('This is an example of a Marketing 360 Form…') as of 2026-10-13, so web quote requests are going nowhere while the site is pulling ~6 new Google reviews in three weeks (Jun 13–Jul 2, 2026) on a 390-review base — volume is there, the intake path is phone-only and office hours stop at 5. Middle Tennessee freeze/burst-pipe season is 8–10 weeks out (seasonal inference). No dated 60-day trigger found; label 'intake-leak opportunity', not urgency.</t>
        </is>
      </c>
      <c r="V13" s="8" t="inlineStr">
        <is>
          <t>Family-Legacy Pride Brand (primary); Growth-Minded Operator (secondary). Confidence: medium (3+ signals across website, third-party profiles, reviews).</t>
        </is>
      </c>
      <c r="W13" s="8" t="inlineStr">
        <is>
          <t>Voice AI live demo built from easonplumbing.com — emergency/after-hours angle (24/7 promise vs 7–5 hours; burst-pipe season) with missed-call text-back; second lever: free AI Search Visibility audit (no FAQ schema; not named in 2 of 3 web-AI answers).</t>
        </is>
      </c>
      <c r="X13" s="8" t="inlineStr">
        <is>
          <t>Recover</t>
        </is>
      </c>
      <c r="Y13" s="8" t="inlineStr">
        <is>
          <t>who answers at Eason after 5</t>
        </is>
      </c>
      <c r="Z13" s="8" t="inlineStr">
        <is>
          <t>Back-to-back Best Plumbing Company in Rutherford County, and your site promises 24/7 — I got curious who picks up at Eason after 5 on a Saturday or on a Sunday.</t>
        </is>
      </c>
      <c r="AA13" s="8" t="inlineStr">
        <is>
          <t>Legacy-protection + emergency coverage: three generations of Easons built the name; the calls that come in at 9pm Sunday or while Cody and Jeremy are under a sink are the ones that go to whoever answers next. Offer the demo line trained on their own site ('hear your business answered before you pay a dollar'), state plainly that go-live is one conditional call-forwarding rule for missed/busy calls and rollback is one dial code, and that it sits alongside Marketing 360 rather than replacing it. Mention gently that the Get-a-Quote page on the site is currently a blank placeholder form, so web quote requests have no path — E4L's speed-to-lead covers forms too. Ask #1 Game Plan Call; ask #2 email for the free AI visibility audit.</t>
        </is>
      </c>
      <c r="AB13" s="8" t="inlineStr">
        <is>
          <t>'We've got Marketing 360 / someone already handles our marketing' and 'our guys answer the phone / calls forward to a cell after hours.' Response: this isn't a website or ads product — it only catches what already rings out or hits voicemail, books it, and texts the caller back; it coexists with their current stack; nothing to set up beyond conditional forwarding; they can call the demo and try to break it first. Secondary: 'robot answering will embarrass us with a customer' — the demo is trained on their own story and hours; a human still answers whenever they can.</t>
        </is>
      </c>
      <c r="AC13" s="8" t="inlineStr">
        <is>
          <t>"Cody? Sam with Eat 4 Life Marketing — this is a cold call, so feel free to hang up. I was on easonplumbing.com: it says you're available 24/7, but the posted hours stop at 5 and Sunday's closed. So who picks up when a pipe bursts on a Sunday night — you, voicemail, or nobody? We build a receptionist trained on your own site that answers and books those calls, and you can call the demo line before you pay a dollar. Can I take 20 seconds to explain, and you tell me if it's worth a longer look?" (If Jeremy answers, use his name; both are hands-on Easons.)</t>
        </is>
      </c>
      <c r="AD13" s="8" t="inlineStr">
        <is>
          <t>Tue–Thu 7:00–7:45 AM CT, right at the posted 7am opening before trucks roll (owners are hands-on: a Google review on the site says 'Jeremy the owner was fantastic! One day service' and the About page shows 'Cody Eason - Hard at work'); second window 4:00–5:00 PM CT before the 5pm close. Never Sunday (closed).</t>
        </is>
      </c>
      <c r="AE13" s="8" t="inlineStr">
        <is>
          <t>Site contact page: Monday–Friday 7:00am–5:00pm, Saturday 7:00–5:00pm, Sunday Closed (https://easonplumbing.com/contact-us/). Site also states 'We are available 24/7!'. Yelp (Lascassas listing, per search snippet) shows 'Open 24 hours' Mon–Sat, Sun closed — CONFLICT. Google Business Profile hours not retrieved this session.</t>
        </is>
      </c>
      <c r="AF13" s="8" t="inlineStr">
        <is>
          <t>America/Chicago (Central Time)</t>
        </is>
      </c>
      <c r="AG13" s="8" t="inlineStr">
        <is>
          <t>Main line +1 615-971-3226 is the only number on the site, BBB and Chamber; the office mailbox office@ exists so an office person likely answers during 7–5. No office manager or dispatcher is named anywhere public (no Team page, no signed review replies readable, no job posts). Ask for 'Cody' (BBB-listed Owner and TN SOS registered agent) or 'Jeremy' (customer-identified owner, ProvenExpert contact). Technician 'Thomas Duke' is named in two Google reviews on the site (not a decision-maker). Two unlabeled secondary numbers exist — +1 615-617-0513 (ProvenExpert) and +1 615-249-4851 (in 'Call Now' blocks on service pages, likely a tracking line) — do not treat either as a cell; dial the main line.</t>
        </is>
      </c>
      <c r="AH13" s="8" t="inlineStr">
        <is>
          <t>Back-to-back 'Best Plumbing Company in Rutherford County' (2024 &amp; 2025 Main Street Awards, stated on https://easonplumbing.com/) plus the Ruthies 2025 Community's Choice badge — the safest, freshest compliment; pair it with the 24/7-vs-7-to-5 observation. (Award dates not independently located; Murfreesboro Post list and DNJ gallery did not render.)</t>
        </is>
      </c>
      <c r="AI13" s="8" t="inlineStr">
        <is>
          <t>(1) 24/7 claim vs posted hours: 'We are available 24/7!' and 'available 24/7 to help you' vs 'Saturday: 7:00 - 5:00pm, Sunday: Closed' (https://easonplumbing.com/contact-us/, /emergency-plumber/). (2) Emergency page admits capacity dependence: 'The response time can be from 30 minutes to 2 hours.' 'This time of arrival also depends on staffing and queue of other plumbing emergencies.' (3) Web quote path broken: /get-a-quote/ renders 'This is an example of a Marketing 360 Form to place on this page. Please update this form with the correct form in the client's current Marketing 360 account.' (4) Phone-only intake: no booking, chat, or text; 12 tel: links on the homepage. (5) Owner is in the field: 'Jeremy the owner was fantastic! One day service.' (Google review on site); About photo 'Cody Eason - Hard at work'. Null: no reviews found complaining about missed calls or callbacks (HomeAdvisor/Angi 5.0; widget reviews praise 'Very prompt and efficient'); no front-office job posts found; BBB 0 complaints.</t>
        </is>
      </c>
      <c r="AJ13" s="8" t="inlineStr">
        <is>
          <t>None dated within 60 days. Datable items: blog posts weekly Jul 15–Aug 13, 2026 (unsigned, agency-style; https://easonplumbing.com/blog/); 2025 Annual Report filed 3 Mar 2026 (routine; OpenCorporates); '2024 &amp; 2025 Main Street Award Winners' (site; 2025 announcement date not located); Ruthies 2025 Community's Choice badge (DNJ gallery link on site; gallery did not render); BBB accredited 9/15/2024; Rutherford Chamber member 2025; site relaunch ~May 2024 (earliest Wayback snapshot 2024-05-22; About photos uploaded 2024/05). No job posts (Google/Bing null; Indeed 401). Seasonal: Middle TN freeze/burst-pipe season (Dec–Feb) is 8–10 weeks out — vertical calendar inference, not business-specific.</t>
        </is>
      </c>
      <c r="AK13" s="8" t="inlineStr">
        <is>
          <t>Family-Legacy: 'plumbing isn't just a job; it's a family tradition' and 'three generations of expertise' + grandfather Army-plumber story (https://easonplumbing.com/about-us/); surname on the business; customer: 'Excellent, family owned business that does very professional work' (Google review on https://easonplumbing.com/); community/legacy footprint: BBB Accredited since 9/15/2024 (https://www.bbb.org/us/tn/murfreesboro/profile/plumber/eason-plumbing-and-drain-cleaning-0573-37191504), Chamber member 2025, 2024 &amp; 2025 Main Street Awards, Ruthies 2025. Growth-Minded: Google Guaranteed badge + Marketing 360 platform + GTM/Meta pixel (page source), 390 Google reviews with ~6 in three weeks (Jun 13–Jul 2, 2026 widget dates), weekly blog Jul 15–Aug 13, 2026, site relaunched ~May 2024 (earliest Wayback snapshot 2024-05-22). No hostile/anti-marketing/anti-AI statements found. Review-reply tone unknown (Google reviews not readable).</t>
        </is>
      </c>
      <c r="AL13" s="8" t="inlineStr">
        <is>
          <t>Self-stated family trade: 'At Eason Plumbing and Drain Cleaning, plumbing isn't just a job; it's a family tradition.' / 'Our journey began over three decades ago when our owner's grandfather served as a plumber in the US Army for over 15 years.' / 'three generations of expertise' (https://easonplumbing.com/about-us/). Cody Eason pictured working in the field (About page photo uploaded May 2024). Licenses on site: TDEC #12508, Tennessee Board of Licensed Contractors #4527 (not verified on verify.tn.gov — JS lookup not reachable). No interviews, podcasts, or LinkedIn found.</t>
        </is>
      </c>
      <c r="AM13" s="8" t="inlineStr">
        <is>
          <t>Tone: warm/professional, family-pride, award-proud. Verbatim: 'PROFESSIONAL. AFFORDABLE. RELIABLE.' (home hero); 'plumbing isn't just a job; it's a family tradition' (About); 'Our mission is to complete quality work at an affordable price for you and your family' (ProvenExpert description). Brag wall: '2024 &amp; 2025 Main Street Award Winners for Best Plumbing Company in Rutherford County', USA Today/DNJ Ruthies 2025 badge, BBB Accredited (since 9/15/2024, A+), Google Guaranteed badge, Rinnai badge, Rutherford County Chamber member (2025). Customers praise price and speed: 'Very prompt and efficient', 'Very reasonably priced', 'Excellent, family owned business'.</t>
        </is>
      </c>
      <c r="AN13" s="8" t="inlineStr">
        <is>
          <t>Owner-operator</t>
        </is>
      </c>
      <c r="AO13" s="8" t="inlineStr">
        <is>
          <t>Not found (Google + Bing X-ray for linkedin.com/in and /company with 'Eason Plumbing' Tennessee returned nothing)</t>
        </is>
      </c>
      <c r="AP13" s="8" t="inlineStr">
        <is>
          <t>Business only: https://www.facebook.com/EasonPlumbingTN/ (1,569 followers per Facebook page plugin, 2026-10-13; posts behind login wall, not read); https://www.instagram.com/easonplumbingtn/ (linked from site; not opened — login/429). No personal owner accounts recorded (policy).</t>
        </is>
      </c>
      <c r="AQ13" s="8" t="inlineStr">
        <is>
          <t>https://easonplumbing.com</t>
        </is>
      </c>
      <c r="AR13" s="8" t="inlineStr">
        <is>
          <t>office@easonplumbing.com (CONFIRMED — https://easonplumbing.com/contact-us/ 'Email Us office@easonplumbing.com'; MX present: Google Workspace aspmx.l.google.com per dns.google, 2026-10-13)</t>
        </is>
      </c>
      <c r="AS13" s="8" t="inlineStr">
        <is>
          <t>4693 E Jefferson Pike, Lascassas, TN 37085 (site footer + BBB). Other addresses in directories: 110 Canter Rd, Lascassas 37085 (TN SOS head office/agent, via OpenCorporates); 417 Windyhill St, Murfreesboro 37129 (Rutherford Chamber, HomeAdvisor); 2103 Winthorne Ln, Murfreesboro 37129 (ProvenExpert, homeyou). Use the site/BBB address.</t>
        </is>
      </c>
      <c r="AT13" s="8" t="inlineStr">
        <is>
          <t>37085</t>
        </is>
      </c>
      <c r="AU13" s="8" t="inlineStr">
        <is>
          <t>'Covering all of Middle Tennessee' — site footer lists towns across Rutherford, Bedford, Cannon, Coffee and Wilson counties (Murfreesboro, Smyrna, La Vergne, Shelbyville, Woodbury, Lebanon, Mt. Juliet, etc.) — https://easonplumbing.com/</t>
        </is>
      </c>
      <c r="AV13" s="8" t="inlineStr">
        <is>
          <t>Not found (Google Maps/Places not reachable this session; no Place ID captured)</t>
        </is>
      </c>
      <c r="AW13" s="8" t="inlineStr">
        <is>
          <t>Not retrieved from Google directly. Proxies: site Trustindex widget shows '390 Google reviews' (rating value not rendered); Yelp 4.8 (14); ProvenExpert 4.73 (22) which aggregates HomeAdvisor as 4.60 (8); HomeAdvisor page itself returned 403 (record's 4.96/14 unverified); Angi 5.0 (14) unverified; BBB A+ (0 reviews).</t>
        </is>
      </c>
      <c r="AX13" s="8" t="inlineStr">
        <is>
          <t>390 Google reviews per Trustindex widget on easonplumbing.com (seen 2026-10-13); 6 widget reviews dated 2026-06-13 to 2026-07-02 (velocity ~6 in 3 weeks). Yelp 14; HomeAdvisor 14; Angi 14; ProvenExpert 22; BBB 0.</t>
        </is>
      </c>
      <c r="AY13" s="8" t="inlineStr">
        <is>
          <t>2018 — BBB 'Business Started 2018-03-01'; HomeAdvisor 'In business since 2018'; domain registered 2018-12-19 (RDAP); site datePublished 2018-04-14. About page: 'Our journey began over three decades ago when our owner's grandfather served as a plumber in the US Army for over 15 years' / 'three generations of expertise' (family experience, not entity age). An older entity 'Eason Plumbing, LLC' (#001299985) is Inactive on OpenCorporates — hypothesis: earlier incarnation replaced by the 2018 LLC.</t>
        </is>
      </c>
      <c r="AZ13" s="8" t="inlineStr">
        <is>
          <t>Not found as a number. Named people: Cody Eason (owner), Jeremy Eason (owner per customer), Thomas Duke (technician, two reviews); site refers to 'our team of seasoned professionals' and reviews to 'technicians' (plural). No BBB employee count, no LinkedIn page.</t>
        </is>
      </c>
      <c r="BA13" s="8" t="inlineStr">
        <is>
          <t>1 (single service location; address variants across directories are all Rutherford County)</t>
        </is>
      </c>
      <c r="BB13" s="8" t="inlineStr">
        <is>
          <t>Emergency plumbing, drain cleaning/hydrojetting, camera inspections, sewer repair, leak detection, burst pipe repair, piping &amp; repiping, pipe relining, smart water shutoffs, water heater install/maintenance (tank, tankless, heat pump), water filtration, faucets/sinks/toilets, commercial plumbing, gas plumbing, maintenance programs (site nav, https://easonplumbing.com/)</t>
        </is>
      </c>
      <c r="BC13" s="8" t="inlineStr">
        <is>
          <t>basic (SSL, WordPress site current to 2026-09-15, Gravity Forms contact form, Trustindex Google-review widget with 'Write a review' link, FB/IG pages; NO online booking, chat, text-us, call-tracking vendor, or customer portal found in page source)</t>
        </is>
      </c>
      <c r="BD13" s="8" t="inlineStr">
        <is>
          <t>agency_managed (Marketing 360 'woo360' theme + m360.js/forms.marketing360.com/conversions.marketing360.com, Google Tag Manager, Meta pixel via PixelYourSite id 3720802021492464, unsigned weekly blog posts; the /get-a-quote/ page still shows the Marketing 360 placeholder form — agency relationship may be lapsed or neglected)</t>
        </is>
      </c>
      <c r="BE13" s="8" t="inlineStr">
        <is>
          <t>established (since 2018; 390 Google reviews with steady recent velocity; awards 2024–2025; BBB/Chamber added 2024–2025; no hiring found)</t>
        </is>
      </c>
      <c r="BF13" s="8" t="inlineStr">
        <is>
          <t>unknown (Google review replies not readable this session — Google/Maps blocked; Yelp 403; BBB shows 0 reviews and 0 complaints in 3 years)</t>
        </is>
      </c>
      <c r="BG13" s="8" t="inlineStr">
        <is>
          <t>Unstated. Site: 'We are available 24/7!' (footer, every page) and 'Our highly trained emergency plumbers are available 24/7 to help you.' (https://easonplumbing.com/emergency-plumber/) while posted hours are Mon–Sat 7:00am–5:00pm, Sunday Closed. Emergency page hedges: 'The response time can be from 30 minutes to 2 hours.' / 'This time of arrival also depends on staffing and queue of other plumbing emergencies.' No answering service, call center, or AI receptionist mentioned on the site or in page source. Yelp lists 'Open 24 hours' Mon–Sat (conflict with site hours).</t>
        </is>
      </c>
      <c r="BH13" s="8" t="inlineStr">
        <is>
          <t>None. CTAs are 'Call Now (615) 971-3226' and 'Get a Quote'. Contact page uses a Gravity Forms form with no response-time promise; the /get-a-quote/ page shows placeholder text: 'This is an example of a Marketing 360 Form to place on this page. Please update this form with the correct form in the client's current Marketing 360 account.' (https://easonplumbing.com/get-a-quote/, 2026-10-13). No scheduler scripts (housecallpro/servicetitan/jobber/calendly etc.) in source.</t>
        </is>
      </c>
      <c r="BI13" s="8" t="inlineStr">
        <is>
          <t>None found (page-source scan of home/about/contact/get-a-quote: no chat, text-us, Podium/Birdeye/Tidio/Intercom/tawk scripts)</t>
        </is>
      </c>
      <c r="BJ13" s="8" t="inlineStr">
        <is>
          <t>Marketing 360 (woo360-theme-child, marketing360.com/wc/m360.js, load.js; forms + conversions subdomains), Beaver Builder (bb-theme), Gravity Forms, Trustindex Google review widget, Google Tag Manager, Meta pixel via PixelYourSite, WordPress; BBB accredited; Rinnai pro badge (Rinnai pro page returns 404); HomeAdvisor/Angi pro listing ('Super Service Award Winner' badge per snippet); ProvenExpert profile (active since 02/23/2024, last update 10/10/2026). No AI receptionist, answering service, call-tracking, booking, or chat vendor detected.</t>
        </is>
      </c>
      <c r="BK13" s="8" t="inlineStr">
        <is>
          <t>Not verifiable this session: Meta Ad Library returned 403; Google Ads Transparency Center did not render results; Google SERP/LSA unit not fetchable. Business-side signals: 'Google Guaranteed' badge self-displayed on About and Murfreesboro pages (implies Local Services Ads enrollment — not independently checked); Meta pixel + GTM + Marketing 360 conversion tracking in source; HomeAdvisor/Angi pro listing.</t>
        </is>
      </c>
      <c r="BL13" s="8" t="inlineStr">
        <is>
          <t>Partial check only — ChatGPT/Perplexity/Gemini not reachable (Perplexity 403). Three plumbing money questions run as web-AI summaries (WebSearch extended): (1) 'emergency plumber near Murfreesboro TN' — Eason NAMED (as 'appear on Yelp as open 24 hours') alongside Roto-Rooter, Lee Company, Steady Flo, Armor Air, Angle Stop Plumbing, Number 1 Plumbing; (2) 'most reliable plumber in Murfreesboro TN that answers the phone' — NOT named (Royalty Plumbing, Armor Air, Simmons Plumbing, Benjamin Franklin, Lucky HVAC, J&amp;D Plumbing named); (3) 'who should I call for a burst pipe in Murfreesboro TN' — NOT named (A/C Plus, Rooter-Man, Lee Company, Armor Air named). Line: 'Named in 1 of 3 web-AI answers (WebSearch summaries; competitors named: Lee Company, Armor Air, Roto-Rooter, Royalty Plumbing, Angle Stop, Steady Flo, A/C Plus)'. Schema: LocalBusiness + Organization JSON-LD present; NO FAQPage. run_geo_audit = yes.</t>
        </is>
      </c>
      <c r="BM13" s="8" t="inlineStr">
        <is>
          <t>PASS — independent Tennessee LLC (EASON PLUMBING &amp; DRAIN CLEANING, LLC, Active, annual reports filed 2025 and 2026), single location, no chain/franchise regex match, own-domain website returns 200 and was modified 2026-09-15, live activity (reviews dated Jun–Jul 2026, blog Aug 2026, BBB A+ with 0 complaints), inbound phone + contact form, not a competitor category, no AI receptionist or answering service detected, no 'no solicitation' notice found, not present in suppression.csv or seen.csv (grep 2026-10-13). Open item: GHL sub-account dedupe not performed in this session.</t>
        </is>
      </c>
      <c r="BN13" s="8" t="inlineStr">
        <is>
          <t>D1 Decision-maker: 14/20 — Cody Eason, Owner, cited by BBB Business Management + TN SOS registered agent (OpenCorporates) + Chamber contact + About photo caption; no email for Cody; Jeremy Eason called 'the owner' by a Google reviewer (on site) and listed on ProvenExpert with jeremy@easonplumbing.com (third-party directory, updated 10/10/2026 = LIKELY, verify before send); office@ CONFIRMED on site; no owner LinkedIn or confirmed direct line. (Strict reading without Jeremy's directory email = 8; total would be 60, same band.) | D2 Phone gap: 15/15 — phone-first ('Call Now (615) 971-3226' hero/header, 12 tel: links) + cited gap: 'We are available 24/7!' vs contact page 'Monday: 7:00am - 5:00pm … Sunday: Closed'; plumbing is inherently urgent; no answering service/AI receptionist mentioned anywhere on site or in source. | D3 Lead-response leak: 5/15 — exactly 1 signal type (5: no online scheduling, no chat/text in source, contact form without response promise, /get-a-quote/ is a Marketing 360 placeholder). Logged nulls: no responsiveness complaints found (HomeAdvisor/Angi 5.0, widget 'Very prompt and efficient'); no front-office job posts (Google/Bing; Indeed 401); owner reply rate unknown (Google not readable); Yelp stats 403; BBB 0 complaints. | D4 AI search gap: 0/10 NO EVIDENCE on listed platforms — ChatGPT/Perplexity/Gemini unreachable (Perplexity 403); substitute web-AI check: named in 1 of 3 answers; LocalBusiness JSON-LD present, no FAQPage → run_geo_audit = yes. | D5 ICP/ability to pay: 15/15 — independent active TN LLC, 1 location, named owner; core plumbing niche; proxies: since 2018 (BBB 2018-03-01, HomeAdvisor), 390 Google reviews with 6 dated Jun 13–Jul 2 2026, high-ticket services (tankless/water heaters, repiping, sewer replacement — $1.5–5k row), 5-county service area + 24/7 claim, 3+ named staff (Cody, Jeremy, Thomas Duke). | D6 Buying signals: 11/15 — no dated trigger in 60 days; paid-media signal (b) Google Guaranteed badge self-displayed on About + Murfreesboro pages (LSA unit not independently checked — downgrade to 7 if Sam sees no LSA listing) + spend groups (d) Marketing 360 platform/GTM/Meta pixel and (e) HomeAdvisor/Angi pro, Trustindex, ProvenExpert, BBB accreditation; (a) Google Ads and (c) Meta Ad Library not checkable (403/no render). | D7 Attitude/stack: 6/10 — positives: modern site (© 2026, modified 2026-09-15, relaunched ~May 2024), review tooling (Trustindex widget), growth posture (2024 &amp; 2025 Best Plumbing awards, BBB 2024, Chamber 2025, blog cadence); negative: broken Get-a-Quote placeholder form; incumbent bundled agency platform (Marketing 360) present → note 'coexist / GEO wedge available'. Review-reply behavior unknown. TOTAL 66/100 = QUALIFIED (TRUSTED: 6 of 7 dimensions evidenced incl. D1 positive citation, D2 direct hours quote, D5; GHL sub-account dedupe not run this session — flag for loader). demo_build = yes (D2 15, site scrapable); run_geo_audit = yes.</t>
        </is>
      </c>
      <c r="BO13" s="8" t="inlineStr">
        <is>
          <t>https://easonplumbing.com/contact-us/, https://easonplumbing.com/, https://easonplumbing.com/about-us/, https://easonplumbing.com/emergency-plumber/, https://easonplumbing.com/get-a-quote/, https://www.bbb.org/us/tn/murfreesboro/profile/plumber/eason-plumbing-and-drain-cleaning-0573-37191504, https://opencorporates.com/companies/us_tn/001544246, https://www.provenexpert.com/eason-plumbing2/, https://web.rutherfordchamber.org/Plumbing/Eason-Plumbing-Drain-Cleaning-18134, https://easonplumbing.com/murfreesboro/, https://easonplumbing.com/blog/, https://www.homeadvisor.com/c.Plumbing.Lascassas.TN.-12058.html, https://www.yelp.com/biz/eason-plumbing-and-drain-cleaning-lascassas, https://www.bestprosintown.com/tn/murfreesboro/eason-plumbing-/, https://www.angi.com/companylist/us/tn/murfreesboro/eason-plumbing-drain-cleaning-llc-reviews-1.htm, https://www.facebook.com/EasonPlumbingTN/, https://www.instagram.com/easonplumbingtn/, https://dnj.gannettcontests.com/2025-The-Ruthies-Communitys-Choice-Awards-Winners/gallery/509471016/, https://opencorporates.com/companies/us_tn/001299985, http://web.archive.org/web/20240522133016/https://www.easonplumbing.com/, https://rdap.org/domain/easonplumbing.com, https://www.homeyou.com/eason-plumbing-drain-cleaning-murfreesboro-tn</t>
        </is>
      </c>
      <c r="BP13" s="8" t="inlineStr">
        <is>
          <t>Medium</t>
        </is>
      </c>
      <c r="BQ13" s="8" t="inlineStr">
        <is>
          <t>Title detail: Owner (BBB 'Business Management: Cody Eason, Owner'; TN SOS registered agent at the LLC's head-office address per OpenCorporates; About-page photo caption 'Cody Eason - Hard at work'). Rutherford Chamber 'listed contact' NOT verifiable (page is JS-only). Second decision-maker: Jeremy Eason — 'Jeremy the owner was fantastic!' (Google review by 'Theo' on easonplumbing.com) and ProvenExpert contact person (no title). Cody PRIMARY (government + BBB), Jeremy LIKELY co-owner/family.. Legal entity note: legal: EASON PLUMBING &amp; DRAIN CLEANING, LLC — TN SOS #001544246, Active. 1) Two Easons: Cody Eason is the legal/BBB owner (SOS registered agent, BBB 'Owner', Chamber contact); Jeremy Eason is called 'the owner' by a customer and is the ProvenExpert contact with jeremy@easonplumbing.com (LIKELY only — third-party directory; Rozel should flag Needs-Review before any send). Cody has no published email; office@ is CONFIRMED. Address them as a family team if unsure. 2) Band: 66 QUALIFIED, not SEND TODAY — D4 could not be run on ChatGPT/Perplexity/Gemini from this session; run the real GEO audit (no FAQPage schema; not named in 2 of 3 web-AI answers) and re-score; a '0 of 28' result plus the demo line likely lifts this into SEND TODAY. 3) Build the voice demo (D2 = 15, site scrapes cleanly; emergency page copy gives the 24/7 script). 4) Incumbent: Marketing 360 runs the site and tracking; the live placeholder on /get-a-quote/ suggests the relationship is neglected — raise it as a helpful observation, never as a dig at their vendor. 5) Not readable this session: Google reviews/reply behavior, Yelp owner section, Facebook posts, Meta Ad Library (403), Google Ads Transparency, TN license lookup (JS), Indeed (401) — Sam should log who answers and whether an answering service picks up after 5. 6) Hours conflict: site 7–5 Mon–Sat vs Yelp 'Open 24 hours' — ask on the call how after-hours calls are actually handled. 7) Suppression/seen checked clean; GHL 'E4L Services' dedupe by domain/phone was NOT run here — loader must run ghl-contacts.js before import. 8) Family-Legacy tone: slightly formal, reference the awards and 'three generations'; avoid 'modernize' language and avoid leading with 'AI'.</t>
        </is>
      </c>
      <c r="BR13" s="10" t="inlineStr"/>
      <c r="BS13" s="10" t="inlineStr"/>
      <c r="BT13" s="10" t="inlineStr"/>
    </row>
    <row r="14" ht="120" customHeight="1">
      <c r="A14" s="8" t="inlineStr">
        <is>
          <t>20261012-13</t>
        </is>
      </c>
      <c r="B14" s="8" t="inlineStr">
        <is>
          <t>2026-10-12</t>
        </is>
      </c>
      <c r="C14" s="8" t="n">
        <v>1</v>
      </c>
      <c r="D14" s="10" t="inlineStr"/>
      <c r="E14" s="10" t="inlineStr">
        <is>
          <t>New</t>
        </is>
      </c>
      <c r="F14" s="8" t="n">
        <v>62</v>
      </c>
      <c r="G14" s="8">
        <f>IF(F14="","",IF(F14&gt;=80,"A — send today",IF(F14&gt;=60,"B — worth a touch",IF(F14&gt;=40,"C — hold","D — reject"))))</f>
        <v/>
      </c>
      <c r="H14" s="8" t="inlineStr">
        <is>
          <t>Marlin James Air Conditioning &amp; Heating</t>
        </is>
      </c>
      <c r="I14" s="8" t="inlineStr">
        <is>
          <t>Scott</t>
        </is>
      </c>
      <c r="J14" s="8" t="inlineStr">
        <is>
          <t>Clark</t>
        </is>
      </c>
      <c r="K14" s="8" t="inlineStr">
        <is>
          <t>Co-owner / co-founder</t>
        </is>
      </c>
      <c r="L14" s="8" t="inlineStr">
        <is>
          <t>Not found</t>
        </is>
      </c>
      <c r="M14" s="8" t="inlineStr">
        <is>
          <t>None found</t>
        </is>
      </c>
      <c r="N14" s="8" t="inlineStr">
        <is>
          <t>Not found</t>
        </is>
      </c>
      <c r="O14" s="8" t="inlineStr">
        <is>
          <t>Not found</t>
        </is>
      </c>
      <c r="P14" s="8" t="inlineStr">
        <is>
          <t>+1 813-689-0817 (site header/contact: "call or text"; Nextdoor; Osprey Observer) — advertised as a text line, so treat as possible cell: manual human dial only, no SMS/AI voice</t>
        </is>
      </c>
      <c r="Q14" s="8" t="inlineStr">
        <is>
          <t>HVAC</t>
        </is>
      </c>
      <c r="R14" s="8" t="inlineStr">
        <is>
          <t>core</t>
        </is>
      </c>
      <c r="S14" s="8" t="inlineStr">
        <is>
          <t>Valrico</t>
        </is>
      </c>
      <c r="T14" s="8" t="inlineStr">
        <is>
          <t>FL</t>
        </is>
      </c>
      <c r="U14" s="8" t="inlineStr">
        <is>
          <t>Florida cooling season is still running, their web contact form is pulled so every lead is now a phone call into an 8-5 office with no after-hours line, nothing on the main line is automated, and the annual Lennox Feel The Love install cycle (October) gives a warm, timely opener this week.</t>
        </is>
      </c>
      <c r="V14" s="8" t="inlineStr">
        <is>
          <t>Family-Legacy Pride Brand (secondary cue: some modern stack — ServiceTitan text widget, financing, review widget — but not enough for Tech-Forward)</t>
        </is>
      </c>
      <c r="W14" s="8" t="inlineStr">
        <is>
          <t>Voice AI live demo — after-hours/overflow receptionist trained on marlinjames.com, Red's Club and the WWRD story, qualifying no-cool/emergency callers and booking into their existing ServiceTitan; plus missed-call text-back. GEO audit as the second touch once the AI spot-check is run (site has no schema). Do not pitch chat/text — they already run ServiceTitan Text2Chat</t>
        </is>
      </c>
      <c r="X14" s="8" t="inlineStr">
        <is>
          <t>Recover</t>
        </is>
      </c>
      <c r="Y14" s="8" t="inlineStr">
        <is>
          <t>Marlin James after 5pm: who picks up?</t>
        </is>
      </c>
      <c r="Z14" s="8" t="inlineStr">
        <is>
          <t>I read the Osprey Observer piece on the five Valrico-area families your team and Lennox set up with new systems last fall — that is "What Would Red Do" in practice, 32 years in.</t>
        </is>
      </c>
      <c r="AA14" s="8" t="inlineStr">
        <is>
          <t>Your site says the office is 8 to 5 and emergency service is available, and you pulled the contact form because of spam — so after 5 the only door into Marlin James is the phone. We build a demo line trained on your own site and Red's Club that answers the 5:01pm no-cool call, gets the name, address and urgency, and books it or texts the caller back — you can call it and hear it before anyone pays a dollar. It only takes the calls that already hit voicemail; Shannon and the office keep every call they answer today, and it can book straight into ServiceTitan.</t>
        </is>
      </c>
      <c r="AB14" s="8" t="inlineStr">
        <is>
          <t>"We've been doing this 32 years — a real person answers our phone and our customers expect that." Answer: keep it exactly that way 8 to 5; this only catches the calls that already go to voicemail after hours and on weekends, it is trained on your own story so callers still reach Marlin James, and go-live is one call-forwarding rule you can undo with a dial code.</t>
        </is>
      </c>
      <c r="AC14" s="8" t="inlineStr">
        <is>
          <t>"Hi Scott, this is Sam with Eat 4 Life Marketing. Full disclosure, this is a cold call, so feel free to hang up on me. I was on marlinjames.com and saw you pulled the contact form because of the spam, which means after five o'clock the only door into Marlin James is that one phone line. We build a demo line trained on your own site and Red's Club that picks up the 5:01 no-cool call, gets the name, address and how urgent it is, and books it, and you can call it and hear it before you ever pay a dollar. Can I take 20 seconds to tell you how it works, and you tell me if it's worth a longer look?"</t>
        </is>
      </c>
      <c r="AD14" s="8" t="inlineStr">
        <is>
          <t>Tue-Thu 8:00-8:30 AM ET, right at office open and before the day's no-cool calls stack up and techs dispatch (site: one line, office 8-5 M-F, 'call or text'; mid-October is still Florida cooling season). Fallback: 4:00-4:45 PM ET when crews are wrapping and the office is still staffed. Scott is still hands-on in the field (Osprey Observer Nov 2024 notes he personally installed a system), so expect to be routed to Glenda Clark (co-owner, runs the accounting, in-office) or Marlin Clark Jr. Stay inside Florida's 8am-8pm calling window; manual dial only.</t>
        </is>
      </c>
      <c r="AE14" s="8" t="inlineStr">
        <is>
          <t>Office 8:00 AM-5:00 PM Mon-Fri ET; emergency service available with surcharge (site header/footer). GBP not read; one directory shows 'Open 24 hours' but could not be opened and conflicts with the site.</t>
        </is>
      </c>
      <c r="AF14" s="8" t="inlineStr">
        <is>
          <t>ET</t>
        </is>
      </c>
      <c r="AG14" s="8" t="inlineStr">
        <is>
          <t>One published line, 813-689-0817, advertised as 'call or text', so it may ring a cell: manual human dial only, no SMS or AI voice. No office manager or dispatcher is named anywhere public; the only non-owner staffer in press is Shannon Gluch, maintenance coordinator (company spokesperson in the Oct 2025 Osprey Observer piece), who likely runs Red's Club scheduling and may answer or screen; ask her for a callback slot rather than pitching her. Ownership: Scott Clark (co-owner, hands-on, often in the field), Glenda Clark (co-owner, does the accounting and likely signs the checks, in-office), Marlin Clark Jr. (3rd generation, registered agent). If 'Scott's out on a job', ask for Glenda or Marlin Jr. by name, or ask when Scott is in the office and leave the hook tied to the pulled website form. No answering service, call center or AI receptionist found; after 5 PM it is voicemail or an emergency-surcharge call with no separate number. Email path if needed: office@marlinjames.com (Nextdoor) - generic, address it to Scott and Glenda. Never cite the site's 'A+ BBB' claim (no BBB profile exists) and never quote the Yelp 3.5.</t>
        </is>
      </c>
      <c r="AH14" s="8" t="inlineStr">
        <is>
          <t>The Osprey Observer story (Oct 31 2025) on Marlin James and the Lennox Feel The Love program installing new systems for five local families, with maintenance coordinator Shannon Gluch quoted: "Giving back in meaningful ways is part of who we are." Pair with the 32-year / third-generation family story and WWRD. Secondary: Scott's Osprey Observer TV appearance (Jul 2024). URL: https://www.ospreyobserver.com/2025/10/marlin-james-air-conditioning-partners-with-the-lii-lennox-foundation-to-award-five-local-families-with-ac-units/</t>
        </is>
      </c>
      <c r="AI14" s="8" t="inlineStr">
        <is>
          <t>(1) "Due to a high volume of spam submissions, we have temporary removed the contact form on our website." — https://www.marlinjames.com/contact-us/ (web leads have no form; only phone/text). (2) Booking CTA dead-ends: "BOOK ONLINE" page reads "If you need assistance please call our office." — https://www.marlinjames.com/schedule-service/. (3) Hours gap: "Office Hours 8am-5pm M-F" alongside "Emergency Service: Available Surcharges may apply" with no after-hours number — https://www.marlinjames.com/contact-us/. (4) One phone line, no email anywhere on the site. (5) Yelp 3.5 on 11 reviews vs Google 4.8 on 368 (Expertise.com) — Yelp lows unread (403). (6) No schema/FAQ markup for AI search. Nulls logged: no responsiveness-complaint reviews readable (Google/Yelp/bestprosintown 403), no CSR/dispatcher job post found (Indeed/ZipRecruiter 403, no careers page)</t>
        </is>
      </c>
      <c r="AJ14" s="8" t="inlineStr">
        <is>
          <t>No dated trigger inside 180 days found. Nearest: Lennox "Feel The Love" installs happen each October/November (Osprey Observer Oct 31 2025 and Nov 27 2024) — the 2026 cycle is likely under way now but unconfirmed; Nextdoor Neighborhood Favorite 2025; 30-year anniversary Jan 21 2024 (33rd anniversary Jan 21 2027); Florida cooling season still running in October. No hiring, new location, redesign or ownership-change signal found; Facebook posts not readable</t>
        </is>
      </c>
      <c r="AK14" s="8" t="inlineStr">
        <is>
          <t>(1) Website About: "Family owned and operated", founder story, "In 2016, Marlin Clark Jr joined making it a 3rd generation company", mission "visible in the office, on uniforms, and in company vehicles", WWRD program, Red's Club named for the founder — https://www.marlinjames.com/about-us/ (2026-10-12). (2) Press: 30-year anniversary article with owner quotes "We plant seeds of faith, respect, kindness and courage..." and "Ya'll are what makes the future possible!" — https://www.ospreyobserver.com/2024/03/marlin-james-air-conditioning-heating-celebrates-30-years/ (Mar 1 2024). (3) Community footprint: Lennox Feel The Love installs for five families (Oct 31 2025) and community heroes (Nov 27 2024); site: "We support local charities and youth sports". (4) Directory award: Nextdoor Neighborhood Favorite 2020 through 2025 — https://nextdoor.com/pages/marlin-james-air-conditioning-heating-valrico-fl/. (5) Osprey Observer TV / podcast appearance by owner Scott Clark, Jul 2024. Four-plus signals across three source categories (site, press, directory) = high confidence; no contradicting hostile or anti-vendor signal observed (review replies could not be read)</t>
        </is>
      </c>
      <c r="AL14" s="8" t="inlineStr">
        <is>
          <t>Scott Clark: "Red and Scott worked in air conditioning for 10 years before starting their own company" (Osprey Observer, Nov 27 2019); podcast notes say he "was inspired by his father's HVAC company and developed an early interest in hands-on installation and service work" (Buzzsprout, Jul 16 2024); co-founded Marlin James with James "Red" Griffin (his father-in-law; site lists Red as 1944-2018) on Jan 21 1994; still hands-on — an original system "had been installed by Marlin James owner Scott Clark over 25 years ago" (Osprey Observer, Nov 27 2024). Glenda Clark (co-owner, Red's daughter): "When Red decided to retire in 2006, Glenda purchased his half of Marlin James"; "My father's only stipulation was that I do the accounting" (Osprey 2019). Marlin Clark Jr.: "In 2016, Marlin Clark Jr joined making it a 3rd generation company" (site About); registered agent "MARLIN SJR CLARK" (OpenCorporates). Company is a RACCA member with a four-year training program (podcast notes) and a Lennox Premier Dealer since 1994 (site)</t>
        </is>
      </c>
      <c r="AM14" s="8" t="inlineStr">
        <is>
          <t>Tone: warm, relationship-first, faith-forward brand statements, slightly formal. Verbatim: "We plant seeds of faith, respect, kindness and courage that are harvested into relationships as we serve your comfort needs" (Scott, Osprey Observer Mar 1 2024); "Ya'll are what makes the future possible!" (the Clark family, same article); "Our service and install technicians are not paid on commission nor do they have a quota" (Glenda, Osprey 2019); mission on About page: "To serve all with integrity while striving for excellence" and the WWRD ("What Would Red Do?") program that lets any employee make a customer-satisfaction decision without management sign-off. Brags: no subcontractors, no commissions/quotas, Lennox Premier Dealer since 1994, "Rated A+ with the BBB" (site claim; BBB profile not found in search), Red's Club named after the founder. Community: Lennox "Feel The Love" free-system installs for community heroes (Nov 2024) and five local families (Oct 2025), youth sports and local charities (site), Nextdoor Neighborhood Favorite 2020-2025. Media: Osprey Observer TV/podcast guest (Jul 2024). Review-reply behaviour: unknown (Google/Yelp not readable this run)</t>
        </is>
      </c>
      <c r="AN14" s="8" t="inlineStr">
        <is>
          <t>Owner-operator</t>
        </is>
      </c>
      <c r="AO14" s="8" t="inlineStr">
        <is>
          <t>Not found (two LinkedIn company-slug guesses returned 404; person search unavailable this run — web search budget exhausted)</t>
        </is>
      </c>
      <c r="AP14" s="8" t="inlineStr">
        <is>
          <t>Company Facebook: https://www.facebook.com/marlinjamesinc/ (linked from site footer; content behind login wall; 4.7 rating / 75 reviews per Expertise). No Instagram, LinkedIn, YouTube or TikTok links on the site. Media: Osprey Observer TV / podcast episode with Scott Clark, July 2024</t>
        </is>
      </c>
      <c r="AQ14" s="8" t="inlineStr">
        <is>
          <t>https://www.marlinjames.com/</t>
        </is>
      </c>
      <c r="AR14" s="8" t="inlineStr">
        <is>
          <t>office@marlinjames.com (Nextdoor business page https://nextdoor.com/pages/marlin-james-air-conditioning-heating-valrico-fl/ - generic office address; not an owner email)</t>
        </is>
      </c>
      <c r="AS14" s="8" t="inlineStr">
        <is>
          <t>1702 Marlin James Dr., Valrico, FL 33594 (site Contact page; matches OpenCorporates registered address; mailing P.O. Box 114, Valrico 33595)</t>
        </is>
      </c>
      <c r="AT14" s="8" t="inlineStr">
        <is>
          <t>33594</t>
        </is>
      </c>
      <c r="AU14" s="8" t="inlineStr">
        <is>
          <t>Hillsborough, Pinellas, Pasco and Polk Counties (site homepage); Brandon / Valrico / Plant City area per Nextdoor recommendations</t>
        </is>
      </c>
      <c r="AV14" s="8" t="inlineStr">
        <is>
          <t>Not found as a direct GBP link (GBP not fetchable this run); search link: https://www.google.com/maps/search/?api=1&amp;query=Marlin+James+Air+Conditioning+%26+Heating+1702+Marlin+James+Dr+Valrico+FL+33594</t>
        </is>
      </c>
      <c r="AW14" s="8" t="inlineStr">
        <is>
          <t>4.8 (per Expertise.com Brandon AC-repair listing, checked 2026-10-12; GBP not read directly)</t>
        </is>
      </c>
      <c r="AX14" s="8" t="inlineStr">
        <is>
          <t>368 Google (Expertise.com); Facebook 4.7 on 75 (Expertise.com); Yelp 3.5 on 11 (Expertise.com; Yelp page returned 403); Nextdoor Neighborhood Favorite 2020-2025 with 6+ visible recommendations</t>
        </is>
      </c>
      <c r="AY14" s="8" t="inlineStr">
        <is>
          <t>Opened January 21, 1994 (site About; Osprey Observer 2019 and 2024) — 32 years; "Celebrating 30 Years!" banner still on site; entity P97000034717 is a 1997-series Florida filing (exact incorporation date requires OpenCorporates login)</t>
        </is>
      </c>
      <c r="AZ14" s="8" t="inlineStr">
        <is>
          <t>Not found (no public headcount; LinkedIn company page 404, Indeed/ZipRecruiter 403). Site says all work is done by employees, never subcontractors; podcast notes reference branded uniforms and trucks and a 4-year in-house training program via RACCA membership</t>
        </is>
      </c>
      <c r="BA14" s="8" t="inlineStr">
        <is>
          <t>1 (1702 Marlin James Dr., Valrico; no other pins or location pages found on site)</t>
        </is>
      </c>
      <c r="BB14" s="8" t="inlineStr">
        <is>
          <t>Residential and commercial AC/heating repair, maintenance (Red's Club membership), system replacement/installation (Lennox Premier Dealer since 1994, services all makes), emergency service with surcharge, consumer financing through Wells Fargo, 1-year service-call warranty (site About/home)</t>
        </is>
      </c>
      <c r="BC14" s="8" t="inlineStr">
        <is>
          <t>modern — ServiceTitan Text2Chat widget initialised on the site (key present in source, implies ServiceTitan field software), EmbedSocial Google-review badges, Wells Fargo consumer financing, SSL, current Elementor build; but no live online booking, no live contact form, no JSON-LD schema</t>
        </is>
      </c>
      <c r="BD14" s="8" t="inlineStr">
        <is>
          <t>diy — WordPress/Elementor site with no agency credit, no GTM/Meta pixel/call tracking in source; local-newspaper advertising and press relationships (Osprey Observer ad unit seen by scout in Nov 2024, now 404; features 2019/2024/2025); review widget; no paid-media evidence observable this run</t>
        </is>
      </c>
      <c r="BE14" s="8" t="inlineStr">
        <is>
          <t>established — 32 years, 368 Google reviews, single location, stable family leadership with third generation in place; no hiring or expansion evidence found (job boards blocked)</t>
        </is>
      </c>
      <c r="BF14" s="8" t="inlineStr">
        <is>
          <t>unknown — Google and Yelp review pages returned 403 and Facebook is behind a login wall; Nextdoor neighbor summaries praise "quick response times"</t>
        </is>
      </c>
      <c r="BG14" s="8" t="inlineStr">
        <is>
          <t>Unknown beyond the site: header "Office Hours 8am-5pm M-F" / footer "8am - 5:00pm Mon - Fri" and "Emergency Service: Available Surcharges may apply" with no after-hours number or instructions; "We are always available to you via call or text at (813)689-0817"; no 24/7 claim, no answering-service, call-center or AI-receptionist mention anywhere on the site; GBP hours and after-hours reviews not captured (sources blocked)</t>
        </is>
      </c>
      <c r="BH14" s="8" t="inlineStr">
        <is>
          <t>N — "SCHEDULE SERVICE" / "BOOK ONLINE" buttons go to /schedule-service/, which only says "If you need assistance please call our office" (no booking widget or iframe in source); /request-service-form/ and /get-an-estimate/ contain no form element; contact form removed ("temporary removed the contact form")</t>
        </is>
      </c>
      <c r="BI14" s="8" t="inlineStr">
        <is>
          <t>Y — ServiceTitan Text2Chat widget initialised in homepage/About source (static.servicetitan.com/text2chat/shim.js with widget key); site copy also invites "call or text" to the main number</t>
        </is>
      </c>
      <c r="BJ14" s="8" t="inlineStr">
        <is>
          <t>WordPress + Elementor 3.23.3 (OceanWP theme, Slider Revolution, WPForms styles with no live form); ServiceTitan Text2Chat (web-to-text widget; implies ServiceTitan field software/CRM); EmbedSocial Google review badges; Wells Fargo consumer financing; Lennox Premier Dealer; no GTM, Meta pixel, CallRail/CTM, Hotjar, chat vendors or agency footer credit found; zero application/ld+json blocks (no FAQPage/LocalBusiness schema); robots.txt has no AI-crawler blocks</t>
        </is>
      </c>
      <c r="BK14" s="8" t="inlineStr">
        <is>
          <t>Not observed — Meta Ad Library returned 403, Google Ads Transparency Center did not render, LSA badge not checkable (search budget exhausted), no gclid/UTM/call-tracking or pixels on site; local news ad unit on Osprey Observer seen by scout (dated 2024-11) now returns 404 — unconfirmed today</t>
        </is>
      </c>
      <c r="BL14" s="8" t="inlineStr">
        <is>
          <t>not checked — web-search budget was exhausted this run, so the two money-question checks could not be executed; note the site carries no FAQ/LocalBusiness JSON-LD, so a GEO audit is likely to show a gap. Run before any email touch</t>
        </is>
      </c>
      <c r="BM14" s="8" t="inlineStr">
        <is>
          <t>PASS — independent, family-owned, single location (not a franchise; Lennox Premier Dealer is a dealer program); MARLIN JAMES INC. P97000034717 Active, Domestic for Profit, registered address matches site (OpenCorporates); website live on own domain; operating (Osprey Observer Oct 31 2025, Nextdoor Fave 2025); inbound channels exist (phone, text widget); HVAC contractor, not a competitor; no AI phone agent or answering service found; suppression.csv has no match on name or domain. Not completed: GHL E4L Services dedupe (ghl-contacts.js), Sunbiz direct read (403), DBPR license verification (error page)</t>
        </is>
      </c>
      <c r="BN14" s="8" t="inlineStr">
        <is>
          <t>D1 Decision-maker: 8/20 — co-owners Marlin "Scott" Clark Sr. and Glenda Clark cited on the About page and in Osprey Observer (2019, 2024), registered agent "MARLIN SJR CLARK" on OpenCorporates; but no email anywhere on site, no owner direct line, no LinkedIn found → call-first / DEMO PATH. | D2 Phone gap: 15/15 — phone-first (header "813-689-0817", "We are always available to you via call or text"); "Office Hours 8am-5pm M-F" beside "Emergency Service: Available Surcharges may apply" with no after-hours number; HVAC is inherently urgent; no 24/7, answering-service or AI-receptionist mention on any page (GBP hours not captured). | D3 Leak evidence: 5/15 — one signal type (contact friction): form removed for spam, "BOOK ONLINE" dead-ends to "please call our office", no booking widget in source; strict definition only partly met because a ServiceTitan Text2Chat widget exists; reviews (Google/Yelp 403), job boards (403) and owner-reply rate unreadable — logged null. | D4 AI visibility: 0/10 — NO EVIDENCE: spot-check not run (search budget exhausted); site has zero JSON-LD, so audit likely productive. | D5 ICP/ability to pay: 15/15 — independent family-owned single location; HVAC core niche; proxies: since Jan 21 1994, 368 Google reviews, Wells Fargo financing, Red's Club maintenance program, 4-county service area, emergency service, Lennox Premier Dealer. | D6 Buying signals: 7/15 — paid tools only (ServiceTitan, EmbedSocial, local-news ads); no dated trigger within 180 days (last press 2025-10-31); Meta Ad Library 403, Google Ads Transparency not rendered, LSA not checked, no GTM/pixel/CallRail in source — null logged. | D7 Attitude/stack: 10/10 — modern site (Elementor 3.23, SSL), tech adoption (ServiceTitan text widget, financing, review widget), press/community posture (Osprey Observer TV Jul 2024, Feel The Love 2024 and 2025, Nextdoor Fave 2020-25); no agency credit, no incumbent conflict, no hostile behaviour observed. | TOTAL 60/100 → QUALIFIED (55-74); 6 of 7 dimensions carry evidence, D1 positive, D2 direct, D5 evidenced → TRUSTED pending GHL dedupe (ghl-contacts.js not run this pass). Route: call-first / DEMO PATH (phone-first, D2 15, named owners, no email)</t>
        </is>
      </c>
      <c r="BO14" s="8" t="inlineStr">
        <is>
          <t>https://www.marlinjames.com/contact-us/, https://www.marlinjames.com/about-us/, https://www.marlinjames.com/, https://www.marlinjames.com/schedule-service/, https://opencorporates.com/companies/us_fl/P97000034717, https://www.ospreyobserver.com/2025/10/marlin-james-air-conditioning-partners-with-the-lii-lennox-foundation-to-award-five-local-families-with-ac-units/, https://www.ospreyobserver.com/2024/03/marlin-james-air-conditioning-heating-celebrates-30-years/, https://ospreyobserver.com/2019/11/marlin-james-air-conditioning-and-heating-celebrating-25-years, https://ospreyobserverpodcasts.buzzsprout.com/1162367/episodes/15422886-osprey-observer-tv-marlin-james-air-conditioning-heating, https://www.ospreyobserver.com/2024/11/marlin-james-and-lennox-foundation-bring-comfort-to-community-heroes/, https://nextdoor.com/pages/marlin-james-air-conditioning-heating-valrico-fl/, https://www.expertise.com/home-improvement/ac-repair/florida/brandon, https://www.marlinjames.com/reds-club/, https://www.marlinjames.com/financing-options/, https://www.facebook.com/marlinjamesinc/, https://ospreyobserver.com/?s=Marlin+James</t>
        </is>
      </c>
      <c r="BP14" s="8" t="inlineStr">
        <is>
          <t>Medium</t>
        </is>
      </c>
      <c r="BQ14" s="8" t="inlineStr">
        <is>
          <t>Title detail: Co-owner / co-founder (Marlin "Scott" Clark Sr.); co-owner Glenda Clark (bought her father's half in 2006, handles accounting); Marlin Clark Jr. 3rd generation (joined 2016) and registered agent of record. Legal entity note: legal: MARLIN JAMES INC., FL doc # P97000034717, Active; license CAC056868 per site. Second decision-maker: Glenda Clark (co-owner; "My father's only stipulation was that I do the accounting" — likely signs the checks). Next-gen champion: Marlin Clark Jr. (joined 2016, registered agent of record) — per the Family-Legacy playbook, consider addressing him and copying Scott/Glenda. Gatekeeper: Shannon Gluch, maintenance coordinator (company spokesperson in the Oct 2025 article). Tone: warm, slightly formal, no slang; the brand makes faith-forward statements on its own site ("serve... with a servant's heart") — brand-level only, mirror respect for the legacy and never lead with "AI"; position the agent as after-hours/overflow only, never as replacing office staff. They run ServiceTitan (Text2Chat widget key in source) — say "books into ServiceTitan" and do not pitch chat/text. No email anywhere → DEMO PATH / Sam call; best window trades 7:00-8:30am or 4:00-5:30pm ET, inside office hours 8-5 M-F; Florida calling window is 8am-8pm and Florida has a mini-TCPA/telemarketer-registration rule — confirm before Sam dials; the main number is advertised as "call or text" so treat it as a possible cell: manual dial only, no SMS or AI voice. Yelp 3.5 on 11 vs Google 4.8 on 368 — Yelp blocked this run, read the lows by hand before the call and never quote a negative review. AI spot-check not run (search budget) and GHL dedupe (ghl-contacts.js) not run — do both before loading or emailing. Founder "Red" Griffin is listed on the site as 1944-2018; reference Red's Club and WWRD, not the founder's passing. Sunbiz (403) and DBPR CAC056868 (error page) could not be read; entity status Active via OpenCorporates P97000034717 — spot-check Sunbiz by hand if the deal progresses. Local-media relationship with Osprey Observer (features 2019, 2024, 2025; podcast Jul 2024) — they like telling the story on record</t>
        </is>
      </c>
      <c r="BR14" s="10" t="inlineStr"/>
      <c r="BS14" s="10" t="inlineStr"/>
      <c r="BT14" s="10" t="inlineStr"/>
    </row>
    <row r="15" ht="120" customHeight="1">
      <c r="A15" s="8" t="inlineStr">
        <is>
          <t>20261012-14</t>
        </is>
      </c>
      <c r="B15" s="8" t="inlineStr">
        <is>
          <t>2026-10-12</t>
        </is>
      </c>
      <c r="C15" s="8" t="n">
        <v>1</v>
      </c>
      <c r="D15" s="10" t="inlineStr"/>
      <c r="E15" s="10" t="inlineStr">
        <is>
          <t>New</t>
        </is>
      </c>
      <c r="F15" s="8" t="n">
        <v>62</v>
      </c>
      <c r="G15" s="8">
        <f>IF(F15="","",IF(F15&gt;=80,"A — send today",IF(F15&gt;=60,"B — worth a touch",IF(F15&gt;=40,"C — hold","D — reject"))))</f>
        <v/>
      </c>
      <c r="H15" s="8" t="inlineStr">
        <is>
          <t>Efficiency Garage Door Service</t>
        </is>
      </c>
      <c r="I15" s="8" t="inlineStr">
        <is>
          <t>Casey</t>
        </is>
      </c>
      <c r="J15" s="8" t="inlineStr">
        <is>
          <t>Tynan</t>
        </is>
      </c>
      <c r="K15" s="8" t="inlineStr">
        <is>
          <t>Owner</t>
        </is>
      </c>
      <c r="L15" s="8" t="inlineStr">
        <is>
          <t>casey@egds.com</t>
        </is>
      </c>
      <c r="M15" s="8" t="inlineStr">
        <is>
          <t>Personal (named)</t>
        </is>
      </c>
      <c r="N15" s="8" t="inlineStr">
        <is>
          <t>Confirmed</t>
        </is>
      </c>
      <c r="O15" s="8" t="inlineStr">
        <is>
          <t>Not found (only the main line 303-759-3437 appears on site, BBB and LinkedIn)</t>
        </is>
      </c>
      <c r="P15" s="8" t="inlineStr">
        <is>
          <t>+1 303-759-3437</t>
        </is>
      </c>
      <c r="Q15" s="8" t="inlineStr">
        <is>
          <t>Garage door repair &amp; installation (residential + commercial, showroom)</t>
        </is>
      </c>
      <c r="R15" s="8" t="inlineStr">
        <is>
          <t>extend</t>
        </is>
      </c>
      <c r="S15" s="8" t="inlineStr">
        <is>
          <t>Denver</t>
        </is>
      </c>
      <c r="T15" s="8" t="inlineStr">
        <is>
          <t>CO</t>
        </is>
      </c>
      <c r="U15" s="8" t="inlineStr">
        <is>
          <t>The site was actively edited in April and September 2026 (service pages and contact page), so Casey is still investing in how customers find and reach him, yet the "Schedule an Appointment" page still has no way to book and every inquiry lands on casey@. Denver is heading into its first freezes, when broken-spring and stuck-door calls typically cluster in evenings and weekends (industry pattern, not measured for EGDS) — exactly the hours the published schedule doesn't cover. February 2027 is his 10-year ownership anniversary, a natural "next decade" conversation.</t>
        </is>
      </c>
      <c r="V15" s="8" t="inlineStr">
        <is>
          <t>Family-Legacy Pride Brand (medium confidence; 4 signals across 2 source categories). Secondary: Overwhelmed Owner-Operator — unconfirmed because Google/Yelp reviews were unreachable.</t>
        </is>
      </c>
      <c r="W15" s="8" t="inlineStr">
        <is>
          <t>Voice AI live demo built from egds.com (generic home-services template: trade = garage door repair, problem = door stuck / spring snapped with the car inside, after 5pm or Sunday) + missed-call text-back. Lead with after-hours and overflow coverage; position as catching only the calls that already go to voicemail. GEO audit as the second ask once D4 is actually run.</t>
        </is>
      </c>
      <c r="X15" s="8" t="inlineStr">
        <is>
          <t>Recover</t>
        </is>
      </c>
      <c r="Y15" s="8" t="inlineStr">
        <is>
          <t>Efficiency's phone after 5pm</t>
        </is>
      </c>
      <c r="Z15" s="8" t="inlineStr">
        <is>
          <t>Casey — you took over a company Bob Hershey ran for 50 years, and the site still promises same-day and emergency service. With service hours ending at 5 and Saturday at noon, I'm curious who picks up when a spring snaps at 7pm.</t>
        </is>
      </c>
      <c r="AA15" s="8" t="inlineStr">
        <is>
          <t>Missed-call / after-hours coverage. Hook: the site sells "Same-Day and Emergency Service" but the published hours stop at 5pm weekdays and noon Saturday, and the only booking path is the phone or Casey's own inbox. Offer: a demo line already trained on egds.com that answers the "my door is stuck and my car is inside" call at 7pm, qualifies it, and books the service window — or texts back any missed call in under a minute. Frame as protecting a 63-year name (callers still reach "Efficiency," answered the way Bob Hershey would have wanted), not replacing showroom staff. Go-live is one conditional call-forwarding rule; rollback is one dial code. Close on the 20-minute Game Plan Call.</t>
        </is>
      </c>
      <c r="AB15" s="8" t="inlineStr">
        <is>
          <t>"After hours the calls come to my cell anyway / we're a small shop and we handle it." Response: then nothing changes for the calls he catches — the agent only takes the ones that already ring out or hit voicemail while he's on a job or the showroom is closed, and he can hear it on the demo number before paying anything. Secondary: "I already have a web guy (Tree Ring Digital)." Response: this isn't a website — it answers the phone and books; it plugs in beside the site they already pay for.</t>
        </is>
      </c>
      <c r="AC15" s="8" t="inlineStr">
        <is>
          <t>"Hi, is this Casey? Casey, it's Sam with Eat 4 Life Marketing — this is a cold call, so feel free to hang up, but give me twenty seconds. I was on egds.com: you took over from Bob Hershey back in 2017, and the site promises same-day and emergency service, but the hours stop at five and Saturday at noon. My question is who picks up when somebody's door is stuck with the car inside at seven on a Saturday night — you, voicemail, or nobody? We build an AI receptionist trained on your own company that answers those calls, books the service call, and texts back anything that gets missed — and you can call a demo line and hear it before you pay a dollar. Can I take twenty minutes with you this week, or would you rather I email you the demo number first?"</t>
        </is>
      </c>
      <c r="AD15" s="8" t="inlineStr">
        <is>
          <t>Tue-Thu 8:00-8:30 AM MT, right at service-hours open before trucks dispatch (trades window per playbook); fallback Tue-Thu 4:00-4:45 PM MT, after the showroom closes at 4 but the service line is still staffed until 5, when the owner is more likely back near the phone. Avoid Saturday (noon close) and Monday mornings (weekend backlog). No review evidence yet on whether Casey personally answers the line — Sam to record who answers.</t>
        </is>
      </c>
      <c r="AE15" s="8" t="inlineStr">
        <is>
          <t>Service: Mon-Fri 8:00am-5:00pm, Sat 8:00am-12:00pm; Showroom: Mon-Fri 8:00am-4:00pm, Sat 8:00am-12:00pm; closed Sunday (source: https://www.egds.com/ and https://www.egds.com/contact/; GBP hours not verified this run)</t>
        </is>
      </c>
      <c r="AF15" s="8" t="inlineStr">
        <is>
          <t>America/Denver (Mountain Time)</t>
        </is>
      </c>
      <c r="AG15" s="8" t="inlineStr">
        <is>
          <t>No office manager, dispatcher or CSR named anywhere (site has no team page; BBB "Customer Contacts" blank; LinkedIn shows no people). During showroom hours (Mon-Fri 8-4, Sat 8-12) a showroom/counter person likely answers 303-759-3437; service line runs to 5pm. Ask for Casey by full name — "Casey Tynan, the owner" (he's listed on BBB as President/CEO) — and if he's on a job, ask when he's usually back at the showroom rather than leaving a message. Casey's own email is the only published contact, so an email to casey@egds.com reaches him directly without a gatekeeper. No owner cell published; do not text the main line.</t>
        </is>
      </c>
      <c r="AH15" s="8" t="inlineStr">
        <is>
          <t>The 2017 takeover of a 1963 business: Casey is 9+ years in and February 2027 is his 10-year ownership anniversary; the About page frames it as carrying Bob Hershey's 50-year legacy forward. Pair that with the site's own "Same-Day and Emergency Service" promise vs. 8-5 / Sat-to-noon hours (https://www.egds.com/about-efficiency-garage-door-service/, https://www.egds.com/contact/).</t>
        </is>
      </c>
      <c r="AI15" s="8" t="inlineStr">
        <is>
          <t>(1) Coverage gap, site's own words: "Same-Day and Emergency Services" / "after-hour accommodations" (https://www.egds.com/) vs. "Service Hours Monday-Friday 8am to 5pm Saturday 8am to 12pm" and "Emergency Service Available for Additional Charge" / "Same-day service when available." (https://www.egds.com/contact/). (2) Booking friction: "Schedule an Appointment" page has no scheduler; contact form promise is only "We will be in touch as soon as possible." (3) Owner is the published inbox: casey@egds.com is the only email on every page, so every web inquiry lands on the owner. (4) Site content neglect: six 2016 lorem-ipsum placeholder blog posts still live (https://www.egds.com/post-sitemap.xml) — marketing is nobody's full-time job. Review-based reachability complaints: none captured (Google/Yelp unreachable; BBB 0 complaints in 3 yrs).</t>
        </is>
      </c>
      <c r="AJ15" s="8" t="inlineStr">
        <is>
          <t>No dated trigger within 60 days confirmed. Soft signals: contact page edited 2026-09-01 and six service pages refreshed 2026-04-02 (sitemap lastmod — content update, not a confirmed redesign; WebPage datePublished 2016-06-14); IDA 2026 member logo (dues paid this year); upcoming 10-year ownership anniversary February 2027. Seasonal: Denver's first freezes are near (industry pattern of broken-spring calls rising in cold snaps — not measured for EGDS). Job posts: not checked (Indeed 403).</t>
        </is>
      </c>
      <c r="AK15" s="8" t="inlineStr">
        <is>
          <t>(1) Site: "Efficiency Garage Door Service was started in 1963 by Bob Hershey, who built and carried the business for over 50 years" + heading "A 50-Year Legacy Lives On" (https://www.egds.com/about-efficiency-garage-door-service/, seen 2026-10-13). (2) Site home: "Locally Owned Family Business" / "since 1963" (https://www.egds.com/). (3) BBB: A+ accredited since 2017-06-14, 0 complaints in 3 yrs — reputation-protective posture (https://www.bbb.org/us/co/denver/profile/garage-doors/efficiency-garage-door-service-1296-6408). (4) IDA 2026 member logo on About page + paid grade.us review funnel (https://grade.us/egds/). Contradicting signals: none found. Overwhelmed-owner hints (not enough to type): casey@ is the only contact on every page, no booking/chat/text, 2-10 staff, "Same-day service when available."</t>
        </is>
      </c>
      <c r="AL15" s="8" t="inlineStr">
        <is>
          <t>CONFIRMED (own site): took over the company in February 2017 from founder Bob Hershey, "who built and carried the business for over 50 years"; Casey "decided to take a leap and assume ownership" and "truly appreciates and values what Bob Hershey has already established" (https://www.egds.com/about-efficiency-garage-door-service/). BBB accredited 2017-06-14, four months after the takeover. Prior career, trade background, military/family-business status: Not found. Note: owner-operator label is LIKELY, not CONFIRMED — based on casey@ being the sole published contact on every page incl. the "Schedule an Appointment" page, plus the 2-10 headcount; no review replies were viewable to confirm who signs.</t>
        </is>
      </c>
      <c r="AM15" s="8" t="inlineStr">
        <is>
          <t>Legacy-steward voice: "A 50-Year Legacy Lives On", "passing the torch" (About page). Brand bragging points on home page: "Locally Owned Family Business", "Insured and licensed", "Highly Experienced Technicians", "We also guarantee 100% satisfaction on both parts and services." Reputation-conscious: BBB accredited within months of buying, IDA 2026 member logo on About page, pays Tree Ring Digital for a grade.us "Reputation Marketing" review funnel whose negative branch reads "We strive for 100% customer satisfaction. If we fell short, please tell us more so we can address your concerns." Honest hedging in copy: "Same-day service when available." / "Emergency Service Available for Additional Charge" (contact page). Tone label: professional, modest, legacy-proud; not salesy.</t>
        </is>
      </c>
      <c r="AN15" s="8" t="inlineStr">
        <is>
          <t>Owner-operator</t>
        </is>
      </c>
      <c r="AO15" s="8" t="inlineStr">
        <is>
          <t>Not found (no personal profile located; web search budget exhausted this run; company page exists: https://www.linkedin.com/company/efficiency-garage-door-service)</t>
        </is>
      </c>
      <c r="AP15" s="8" t="inlineStr">
        <is>
          <t>Owner-personal handles: Not found. Company accounts linked from site footer: Facebook https://www.facebook.com/efficiencygaragedoorservice/ (login wall, activity not viewable), X/Twitter https://twitter.com/garagedoorsden (not viewable), Instagram https://www.instagram.com/garagedoorsegds/ (login wall), Yelp https://www.yelp.com/biz/efficiency-garage-door-service-denver (403)</t>
        </is>
      </c>
      <c r="AQ15" s="8" t="inlineStr">
        <is>
          <t>https://www.egds.com</t>
        </is>
      </c>
      <c r="AR15" s="8" t="inlineStr">
        <is>
          <t>Not found (casey@egds.com is the only address published on egds.com; no info@/office@ anywhere on the site)</t>
        </is>
      </c>
      <c r="AS15" s="8" t="inlineStr">
        <is>
          <t>5505 E Evans Ave, Denver, CO 80222 (showroom; BBB lists 80222-5227)</t>
        </is>
      </c>
      <c r="AT15" s="8" t="inlineStr">
        <is>
          <t>80222</t>
        </is>
      </c>
      <c r="AU15" s="8" t="inlineStr">
        <is>
          <t>"Denver Metro and surrounding areas" (https://www.egds.com/); BBB: "Metro Denver and surrounding areas"</t>
        </is>
      </c>
      <c r="AV15" s="8" t="inlineStr">
        <is>
          <t>Not found (Google Business Profile not reachable this run)</t>
        </is>
      </c>
      <c r="AW15" s="8" t="inlineStr">
        <is>
          <t>Not found (GBP unreachable; Yelp returned 403; BBB shows 1 customer review with no rating displayed)</t>
        </is>
      </c>
      <c r="AX15" s="8" t="inlineStr">
        <is>
          <t>Not found (GBP unreachable; BBB: 1 review, 0 complaints in 3 yrs)</t>
        </is>
      </c>
      <c r="AY15" s="8" t="inlineStr">
        <is>
          <t>CONFLICT recorded: site says "since 1963" (founder Bob Hershey, https://www.egds.com/about-efficiency-garage-door-service/); BBB "Business Started" 1983-07-20; predecessor corp EFFICIENCY GARAGE DOOR SERVICE, INC. CO #19871530966 (1987 series) voluntarily dissolved 2017-12-19 per OpenCorporates; current owner Casey Tynan assumed ownership February 2017 (About page). Hypothesis: 2017 asset purchase, old owner's corp dissolved, new entity name Not found.</t>
        </is>
      </c>
      <c r="AZ15" s="8" t="inlineStr">
        <is>
          <t>2-10 employees (LinkedIn company page https://www.linkedin.com/company/efficiency-garage-door-service, 7 followers); site: "Highly Experienced Technicians" (no count)</t>
        </is>
      </c>
      <c r="BA15" s="8" t="inlineStr">
        <is>
          <t>1 (single showroom at 5505 E Evans Ave; LinkedIn company page lists one location)</t>
        </is>
      </c>
      <c r="BB15" s="8" t="inlineStr">
        <is>
          <t>Residential garage door installation, service &amp; repair, parts, openers; commercial garage door installation, service &amp; repair, commercial door styles; physical showroom; Garaga "Door Designer" tool linked (page sitemap: https://www.egds.com/page-sitemap.xml)</t>
        </is>
      </c>
      <c r="BC15" s="8" t="inlineStr">
        <is>
          <t>basic-to-modern: SSL, WordPress (WPBakery, Slider Revolution, Yoast, JCH Optimize), Gravity Forms contact form, GA4 gtag G-CFF5M8E5H3 via GTM, grade.us review-request funnel, Microsoft 365 mail (MX egds-com.mail.protection.outlook.com). No online booking, chat, text-us, call tracking, financing widget, or FAQ/LocalBusiness schema (page-source scan 2026-10-13). Blog still holds 2016 lorem-ipsum placeholder posts (post-sitemap).</t>
        </is>
      </c>
      <c r="BD15" s="8" t="inlineStr">
        <is>
          <t>agency_managed (web + reputation page): footer "Designed and Powered by Tree Ring Digital" (local Denver web shop, not a bundled vertical agency); grade.us page credits Tree Ring Digital "Reputation Marketing". Paid ads not checked this run (Google Ads Transparency, Meta Ad Library, LSA unit all unreachable).</t>
        </is>
      </c>
      <c r="BE15" s="8" t="inlineStr">
        <is>
          <t>established: 63 years as a business, current owner 9+ years, 2-10 staff, service pages refreshed 2026-04-02 and contact page 2026-09-01 (sitemap lastmod); review velocity and hiring unknown (GBP/Indeed unreachable)</t>
        </is>
      </c>
      <c r="BF15" s="8" t="inlineStr">
        <is>
          <t>unknown — Google Business Profile not reachable, Yelp 403, BBB shows 1 review with no text/response visible</t>
        </is>
      </c>
      <c r="BG15" s="8" t="inlineStr">
        <is>
          <t>hours_only (per site). Service hours end 5pm weekdays, noon Saturday, closed Sunday, yet the site says "We provide Same-Day and Emergency Service to residents of the Denver Metro and surrounding areas" and "Our highly qualified staff specializes in same day service and after-hour accommodations" (https://www.egds.com/); contact page hedges: "Emergency Service Available for Additional Charge" and "Same-day service when available." (https://www.egds.com/contact/). No 24/7 claim, no answering service, call center, or AI receptionist found in page source. Who actually answers after 5pm: Not found — Sam to record on first dial.</t>
        </is>
      </c>
      <c r="BH15" s="8" t="inlineStr">
        <is>
          <t>None. The page titled "Schedule an Appointment" (https://www.egds.com/schedule-an-appointment/) contains no booking widget or form — only the phone, casey@egds.com, showroom address and hours.</t>
        </is>
      </c>
      <c r="BI15" s="8" t="inlineStr">
        <is>
          <t>None. Page-source scan found only GTM/gtag and a grade.us link; no chat, text-us, Podium/Birdeye/Tidio/etc. Contact form (Gravity Forms: Name*, Phone, Email*, Message*) promises only "We will be in touch as soon as possible." with no auto-confirmation found.</t>
        </is>
      </c>
      <c r="BJ15" s="8" t="inlineStr">
        <is>
          <t>Tree Ring Digital (web design + reputation marketing), grade.us (review funnel), WordPress + WPBakery + Slider Revolution + Yoast SEO + JCH Optimize, Gravity Forms, Google Tag Manager/GA4 (G-CFF5M8E5H3), Microsoft 365 email (MX), Garaga Door Designer link (dealer tool). Not found: CallRail/CTM, Meta pixel, booking/chat/text vendors, financing, AI receptionist, answering service.</t>
        </is>
      </c>
      <c r="BK15" s="8" t="inlineStr">
        <is>
          <t>Not checked — Google Ads Transparency Center, Meta Ad Library, Google LSA unit and sponsored-result checks were all unreachable this run (web search budget exhausted; JS-rendered pages). No gclid/UTM/call-tracking footprint in page source.</t>
        </is>
      </c>
      <c r="BL15" s="8" t="inlineStr">
        <is>
          <t>Not checked — no AI platform (ChatGPT/Perplexity/Gemini) could be queried this run. Schema check done: only WebPage/WebSite/BreadcrumbList JSON-LD (Yoast); no FAQPage or LocalBusiness schema. Line for audit seed: "Named in 0 of 0 AI answers (not run)". Run D4 before any SEND TODAY promotion.</t>
        </is>
      </c>
      <c r="BM15" s="8" t="inlineStr">
        <is>
          <t>PASS with one flag. Chain/franchise: no (independent, 1 location, 2-10 staff). Website: live, own domain, updated 2026-09-01. Live US business: yes (site, BBB accreditation, contact page edits) — FLAG: predecessor CO corporation voluntarily dissolved 2017-12-19 after the Feb 2017 ownership change; successor entity Not found (SOS blocked). Inbound channel: phone + Gravity Forms contact form. Competitor/non-buyer category: no. Already automated: no AI receptionist/answering service in source; D4 not run. E4L world: not on suppression.csv or seen.csv; no geo/audits or demo folder; GHL dedupe NOT run this session. Niche-playbook disqualifiers (Precision/A1/Overhead Door distributor/Neighborly, lead-gen front, commercial-only): none apply — real showroom address, named owner, residential + commercial.</t>
        </is>
      </c>
      <c r="BN15" s="8" t="inlineStr">
        <is>
          <t>D1 Decision-maker reach: 14/20 — full name + role from two independent sources (site About: Casey "assume ownership" Feb 2017; BBB: "Casey M. Tynan, President/CEO") AND personal email casey@egds.com published on egds.com home/about/contact/schedule pages, MX present (Outlook); no secondary channel (owner LinkedIn/social/second phone Not found) so not 20. | D2 Phone/after-hours gap: 15/15 — phone-first (tel: link in header, 5x on contact page, no booking/chat); niche is inherently urgent (garage door on rubric list) AND site advertises "Same-Day and Emergency Service" / "after-hour accommodations" while published hours are Mon-Fri 8-5, Sat 8-12; no 24/7 answering, answering service or AI receptionist in source. Caveat: hours quoted from the site, GBP hours not verified. | D3 Lead-response leak: 5/15 — exactly 1 signal type: (5) booking/contact friction verified in page source (no scheduler, no chat/text, form says only "We will be in touch as soon as possible."). Logged null: Google reviews, Yelp (403), Indeed (403), owner reply rate — not reachable; BBB 0 complaints. | D4 AI search gap: 0/10 NO EVIDENCE — no platform could be checked this run; schema check only (no FAQPage/LocalBusiness). | D5 ICP fit/ability: 15/15 — (a) independent, 1 location, named owner, "Locally Owned Family Business"; (b) garage door = Other home services row / EXTEND niche fit 4/5; (c) 3 proxies: 63 yrs in business + owner since 2017 (site, BBB accredited 2017), LinkedIn headcount 2-10, ticket size (installs $2.5k-$8k per niche playbook; showroom + commercial doors). | D6 Timing/spend: 7/15 — only group (d)/(e) spend: agency credit Tree Ring Digital + GTM/GA4 + grade.us review tool; no dated trigger within 60 days (page edits 2026-09-01 are not a redesign); Google Ads, LSA, Meta Ad Library, job boards NOT CHECKED (unreachable) — logged as null. | D7 Owner posture: 6/10 — positives: modern maintained site (SSL, © 2025, pages updated 2026), review-request tooling; negatives: 2016 lorem-ipsum placeholder blog posts; review replies/social recency unviewable; no incumbent conflict (local web shop, not a bundled vertical agency). | TOTAL 62 = QUALIFIED band. STATUS: PROVISIONAL pending (i) GHL 'E4L Services' dedupe via ghl-contacts.js (not run from this session), (ii) D4 spot-check, (iii) GBP hours/reviews; 6 of 7 dimensions carry evidence, D1 positive, D2 direct, D5 cited.</t>
        </is>
      </c>
      <c r="BO15" s="8" t="inlineStr">
        <is>
          <t>https://www.egds.com/about-efficiency-garage-door-service/, https://www.egds.com/contact/, https://www.egds.com/, https://www.bbb.org/us/co/denver/profile/garage-doors/efficiency-garage-door-service-1296-6408, https://www.egds.com/schedule-an-appointment/, https://opencorporates.com/companies/us_co/19871530966, https://www.linkedin.com/company/efficiency-garage-door-service, https://grade.us/egds/, https://www.egds.com/page-sitemap.xml, https://www.egds.com/post-sitemap.xml, https://www.egds.com/residential-garage-door-service-and-repair/, https://www.egds.com/testimonials/, https://opencorporates.com/companies?q=Efficiency+Garage+Door&amp;jurisdiction_code=us_co, https://opencorporates.com/companies?q=EGDS&amp;jurisdiction_code=us_co, https://www.facebook.com/efficiencygaragedoorservice/, https://twitter.com/garagedoorsden, https://www.instagram.com/garagedoorsegds/, https://www.yelp.com/biz/efficiency-garage-door-service-denver</t>
        </is>
      </c>
      <c r="BP15" s="8" t="inlineStr">
        <is>
          <t>High</t>
        </is>
      </c>
      <c r="BQ15" s="8" t="inlineStr">
        <is>
          <t>Title detail: Owner (site: "assume ownership", Feb 2017) / President/CEO (BBB Business Management: "Casey M. Tynan"). 1) Entity flag for Rozel: the Colorado corp EFFICIENCY GARAGE DOOR SERVICE, INC. (#19871530966, Bob Hershey era) was voluntarily dissolved 2017-12-19 — consistent with Casey buying the business Feb 2017 and the old owner winding up his corporation; the current operating entity's name was NOT FOUND (CO SOS blocked by Cloudflare; OpenCorporates searches for "Efficiency Garage Door" and "EGDS" show only the dissolved corp). The business is demonstrably live (site edited 2026-09-01, BBB A+ accredited, 0 complaints) so this is not treated as a disqualifier, but confirm before loading. 2) Not run this session: GHL 'E4L Services' dedupe (ghl-contacts.js), Google Business Profile (rating, hours, reviews, reply rate), Yelp (403), Indeed (403), Meta Ad Library / Google Ads Transparency / LSA, and the D4 AI spot-check — the WebSearch budget was exhausted; score is PROVISIONAL at 62 until these are filled. 3) Email is CONFIRMED (own site, 4 pages, MX present) — safe for Sebastian's plain-text cold email; no secondary channel, so Sam's call is the second touch. 4) Opener-safe facts: 1963 founding, Bob Hershey's 50 years, Casey's Feb 2017 takeover, the hours-vs-emergency gap, no online scheduler. Do NOT mention the lorem-ipsum blog posts or the dissolved corp in outreach. 5) Attitude is Family-Legacy; keep tone slightly formal, no "disrupt/modernize," position voice AI as after-hours/overflow only. 6) Not previously demoed or audited (no egds mention in geo/audits or lead-machine data; not on suppression.csv or seen.csv).</t>
        </is>
      </c>
      <c r="BR15" s="10" t="inlineStr"/>
      <c r="BS15" s="10" t="inlineStr"/>
      <c r="BT15" s="10" t="inlineStr"/>
    </row>
    <row r="16" ht="120" customHeight="1">
      <c r="A16" s="8" t="inlineStr">
        <is>
          <t>20261012-15</t>
        </is>
      </c>
      <c r="B16" s="8" t="inlineStr">
        <is>
          <t>2026-10-12</t>
        </is>
      </c>
      <c r="C16" s="8" t="n">
        <v>1</v>
      </c>
      <c r="D16" s="10" t="inlineStr"/>
      <c r="E16" s="10" t="inlineStr">
        <is>
          <t>New</t>
        </is>
      </c>
      <c r="F16" s="8" t="n">
        <v>61</v>
      </c>
      <c r="G16" s="8">
        <f>IF(F16="","",IF(F16&gt;=80,"A — send today",IF(F16&gt;=60,"B — worth a touch",IF(F16&gt;=40,"C — hold","D — reject"))))</f>
        <v/>
      </c>
      <c r="H16" s="8" t="inlineStr">
        <is>
          <t>Fowler Orthodontics</t>
        </is>
      </c>
      <c r="I16" s="8" t="inlineStr">
        <is>
          <t>Chad</t>
        </is>
      </c>
      <c r="J16" s="8" t="inlineStr">
        <is>
          <t>Fowler</t>
        </is>
      </c>
      <c r="K16" s="8" t="inlineStr">
        <is>
          <t>Orthodontist</t>
        </is>
      </c>
      <c r="L16" s="8" t="inlineStr">
        <is>
          <t>drfowler@fowlerortho.com</t>
        </is>
      </c>
      <c r="M16" s="8" t="inlineStr">
        <is>
          <t>Personal (named)</t>
        </is>
      </c>
      <c r="N16" s="8" t="inlineStr">
        <is>
          <t>Confirmed</t>
        </is>
      </c>
      <c r="O16" s="8" t="inlineStr">
        <is>
          <t>Not found</t>
        </is>
      </c>
      <c r="P16" s="8" t="inlineStr">
        <is>
          <t>+1 615-591-4770</t>
        </is>
      </c>
      <c r="Q16" s="8" t="inlineStr">
        <is>
          <t>Orthodontics (dental)</t>
        </is>
      </c>
      <c r="R16" s="8" t="inlineStr">
        <is>
          <t>core</t>
        </is>
      </c>
      <c r="S16" s="8" t="inlineStr">
        <is>
          <t>Franklin</t>
        </is>
      </c>
      <c r="T16" s="8" t="inlineStr">
        <is>
          <t>TN</t>
        </is>
      </c>
      <c r="U16" s="8" t="inlineStr">
        <is>
          <t>Two front-office/clinical openings are live on the site today and resumes go straight to drfowler@ - he is reading that inbox himself this week, and the front desk seat is the exact job the AI receptionist covers.</t>
        </is>
      </c>
      <c r="V16" s="8" t="inlineStr">
        <is>
          <t>Unclear (leans Growth-Minded Operator / Tech-Forward Early Adopter; evidence is website-only, below the 2-source threshold)</t>
        </is>
      </c>
      <c r="W16" s="8" t="inlineStr">
        <is>
          <t>Free GEO audit (per Chosen's dental matrix), paired with a live voice-receptionist demo built from fowlerortho.com as the proof lever (D2 = 9, site scrapable). demo_build = yes; run_geo_audit = yes (D4 unscored - audit is the only way to seed the "Named in X of 28" line).</t>
        </is>
      </c>
      <c r="X16" s="8" t="inlineStr">
        <is>
          <t>Accelerate</t>
        </is>
      </c>
      <c r="Y16" s="8" t="inlineStr">
        <is>
          <t>The front desk opening at Fowler Orthodontics</t>
        </is>
      </c>
      <c r="Z16" s="8" t="inlineStr">
        <is>
          <t>Saw on your site that you're hiring a Front Desk Coordinator to welcome new patients and schedule appointments, and it made me wonder who picks up the new-patient calls that come in after 5 or on Fridays while that seat is open.</t>
        </is>
      </c>
      <c r="AA16" s="8" t="inlineStr">
        <is>
          <t>Dr. Fowler runs a one-doctor Mon-Thu office and is hiring the person who answers the phone, so a share of new-patient and emergency calls are landing somewhere other than a human right now. Lead with the free check: we ask ChatGPT, Gemini and Perplexity who the best orthodontist in Franklin is and send him the screenshots of who gets named, no charge. Then offer the demo line built from his own website he can call himself; an engineer-turned-orthodontist will want to test it, not hear about it.</t>
        </is>
      </c>
      <c r="AB16" s="8" t="inlineStr">
        <is>
          <t>"We already use Sesame for our website and reminders." Answer: keep Sesame; this sits beside it and only covers the two things it doesn't - the calls nobody answers after hours and whether AI assistants name you - and the audit is free either way.</t>
        </is>
      </c>
      <c r="AC16" s="8" t="inlineStr">
        <is>
          <t>"Dr. Fowler? Sam with Eat 4 Life Marketing. Straight up, this is a cold call, so feel free to hang up on me. I saw on fowlerortho.com you're hiring a Front Desk Coordinator to welcome new patients and schedule appointments. Here's why I called: while that seat's open, and on Fridays when you're closed, new-patient calls hit voicemail, and that parent just calls the next orthodontist on Google. We build an AI receptionist trained on your own website that answers every one of those calls and books the consult, and you test it on a demo line before you pay a dollar. Can I take twenty seconds to explain, and you tell me if it's worth a 20-minute call with Sebastian?"</t>
        </is>
      </c>
      <c r="AD16" s="8" t="inlineStr">
        <is>
          <t>Tue-Thu 8:45-9:30 AM CT (6:45-7:30 AM PT) right as the office opens, before Dr. Fowler is chairside, with a fallback at 4:30-5:00 PM CT as the last patients leave. Reason: it is a one-doctor practice, so he is in the clinic most of the day; the front-desk seat is open, so mid-day calls are more likely to go unanswered. Do not call Friday; the office is closed per the site and the call will only hit voicemail.</t>
        </is>
      </c>
      <c r="AE16" s="8" t="inlineStr">
        <is>
          <t>Mon-Thu 9:00 AM-5:00 PM CT per fowlerortho.com/office-location; Friday, Saturday and Sunday are not listed (treat as closed). Google Business Profile could not be opened to confirm.</t>
        </is>
      </c>
      <c r="AF16" s="8" t="inlineStr">
        <is>
          <t>CT</t>
        </is>
      </c>
      <c r="AG16" s="8" t="inlineStr">
        <is>
          <t>No team page and no staff names anywhere public; the appointment page refers only to "our scheduling coordinator." The Front Desk Coordinator seat is currently vacant (posting live), so expect a clinical assistant or treatment coordinator to pick up, or voicemail; no answering service, after-hours line or owner cell is published. Ask for Dr. Fowler by name (he is the only doctor and the PLLC is in his name). If he is chairside, do not pitch the staffer; ask when he is off the chair (opening or 4:30 PM CT) and whether he prefers email. He personally reads drfowler@fowlerortho.com because it is the published resume inbox, so a follow-up email with the free AI-visibility audit lands with him directly; use a non-recruiting subject so it is not filed as an application. Incumbent vendor is Sesame (website/reminders) with Ortho2 practice management; do not open with a website rebuild.</t>
        </is>
      </c>
      <c r="AH16" s="8" t="inlineStr">
        <is>
          <t>The live Front Desk Coordinator opening on his own site, applied for via his personal address: duties are "welcoming both new and current patients, scheduling appointments" and "maintaining communication with patients" - https://www.fowlerortho.com/front-desk-coordinator. Secondary hook: former NASA flight controller turned orthodontist (meet-dr page) - frame the demo as something an engineer can test.</t>
        </is>
      </c>
      <c r="AI16" s="8" t="inlineStr">
        <is>
          <t>(1) HIRING the phone role: "Front Desk Coordinator" - "welcoming both new and current patients, scheduling appointments", "maintaining communication with patients and dental professionals", "managing financial contracts"; "customer service experience is required"; apply to drfowler@fowlerortho.com (https://www.fowlerortho.com/front-desk-coordinator). (2) HOURS GAP: Mon-Thu 9-5 only, no Friday/weekend hours listed; emergency page says "call our office" with no after-hours path (https://www.fowlerortho.com/office-location, /emergency-care). (3) BOOKING FRICTION: form-only request, "Our scheduling coordinator will contact you soon" - no response-time promise, no scheduler, no chat/text (https://www.fowlerortho.com/appointment-request). (4) AI-READABILITY: no JSON-LD schema on homepage; FAQ page unstructured. (5) Footer "Email Us" is a JS placeholder (javascript:void(0)) - email not shown as text on any page except the careers page. Not found: any review complaining about phones/response (Google/Yelp not fetchable; Healthgrades review praises "Very pleasant office staff").</t>
        </is>
      </c>
      <c r="AJ16" s="8" t="inlineStr">
        <is>
          <t>Hiring: two open roles live on the site as of 2026-10-12 - Front Desk Coordinator and Clinical Orthodontic Assistant (undated postings; https://www.fowlerortho.com/employment-opportunities). Seasonal: back-to-school ortho window has just passed. No new-site, new-location, ownership-change or review-spike evidence found (Wayback blocked by egress policy; TN SOS detail 503).</t>
        </is>
      </c>
      <c r="AK16" s="8" t="inlineStr">
        <is>
          <t>(1) Hiring two roles now - "Front Desk Coordinator" and "Clinical Orthodontic Assistant", apply to drfowler@fowlerortho.com (https://www.fowlerortho.com/employment-opportunities). (2) Tech in use: "select how they receive appointment reminders (text, email, phone)", "online access to our office 24/7", "digital scanning technology", "digital charting" (https://www.fowlerortho.com/what-sets-us-apart); electronic health history via Ortho2 forms (https://www.fowlerortho.com/patient-forms). (3) Community posture: sponsors local schools/sports teams, Interfaith Dental Clinic. Contradicting/absent: no online booking, no chat/text, dormant blog since 2015, no JSON-LD schema, Google review replies and socials not viewable this run. All signals come from the website, so type stays Unclear per the evidence rule.</t>
        </is>
      </c>
      <c r="AL16" s="8" t="inlineStr">
        <is>
          <t>Per https://www.fowlerortho.com/meet-dr-chad-fowler: grew up in Houston, TX, "son of an engineer," a few miles from Johnson Space Center; Vanderbilt University degree in biomedical engineering; worked at NASA as a flight controller in mission control after Vanderbilt; Medical College of Virginia DDS 2005 (magna cum laude), MS in orthodontics and dentofacial orthopedics 2007; OKU national dental honor society; member of a local orthodontic study club. Lives in Franklin; practice sponsors local schools, sports teams, the arts, charities and mission projects; provides treatment to children in need through the Interfaith Dental Clinic (https://www.fowlerortho.com/what-sets-us-apart). Practice blog shows a 2015 Haiti dental mission trip. Domain registered Nov 2007 (approx. 19 years online).</t>
        </is>
      </c>
      <c r="AM16" s="8" t="inlineStr">
        <is>
          <t>Own-voice quotes: "I love the problem-solving aspects of orthodontic treatment." and "I take a team approach to treatment and I make sure that you know that you are one of the most important members of our team." (meet-dr page). Site voice is professional, third-person, warm: "Beautiful smiles, exceptional care!"; "the key to a good orthodontic outcome is communication"; brags about digital scanning, digital charting, eco-friendly steam sterilizer/digital X-rays, "online access to our office 24/7", reminders by "text, email, phone". Engineer/NASA background suggests he will want specifics and a thing he can test himself (demo number, audit screenshots). Hobbies stated: reading, golf, pickleball. Blog line: "We cherish our wonderful patients and we would love to have more just as wonderful as you!" Review replies: not observable this run (Healthgrades shows none).</t>
        </is>
      </c>
      <c r="AN16" s="8" t="inlineStr">
        <is>
          <t>Owner-operator</t>
        </is>
      </c>
      <c r="AO16" s="8" t="inlineStr">
        <is>
          <t>Not found (not checked - web search budget exhausted this run)</t>
        </is>
      </c>
      <c r="AP16" s="8" t="inlineStr">
        <is>
          <t>Practice accounts linked from site footer: https://www.facebook.com/FowlerOrtho (login wall), https://www.instagram.com/fowler_ortho/ (429, not viewable), https://twitter.com/FowlerOrtho (not checked), blog https://fowlerortho.wordpress.com/ (dormant - last post "Haiti Dental Mission Trip" July 7, 2015). No owner-personal profiles found.</t>
        </is>
      </c>
      <c r="AQ16" s="8" t="inlineStr">
        <is>
          <t>https://www.fowlerortho.com/</t>
        </is>
      </c>
      <c r="AR16" s="8" t="inlineStr">
        <is>
          <t>Not displayed as text. Page source footer "Email Us" link carries rel="info|fowlerortho.com" (JS-assembled; decodes to info@fowlerortho.com) - Likely, verify before any send. MX present (mx.fowlerortho.com.cust.b.hostedemail.com).</t>
        </is>
      </c>
      <c r="AS16" s="8" t="inlineStr">
        <is>
          <t>511 New Hwy 96 W, Ste 203, Franklin, TN 37064 (site: https://www.fowlerortho.com/office-location; registry: https://opencorporates.com/companies/us_tn/000549400)</t>
        </is>
      </c>
      <c r="AT16" s="8" t="inlineStr">
        <is>
          <t>37064</t>
        </is>
      </c>
      <c r="AU16" s="8" t="inlineStr">
        <is>
          <t>Franklin, Brentwood, Thompson Station, TN (meta description on homepage)</t>
        </is>
      </c>
      <c r="AV16" s="8" t="inlineStr">
        <is>
          <t>Not found (Google Maps not fetchable this run)</t>
        </is>
      </c>
      <c r="AW16" s="8" t="inlineStr">
        <is>
          <t>Not checked on Google this run. Healthgrades: 4.9 (https://www.healthgrades.com/dentist/dr-chad-fowler-37smv)</t>
        </is>
      </c>
      <c r="AX16" s="8" t="inlineStr">
        <is>
          <t>Google: not checked. Healthgrades: 214 ratings, 1 written review (dated Aug 30, 2020)</t>
        </is>
      </c>
      <c r="AY16" s="8" t="inlineStr">
        <is>
          <t>Not stated on site. Proxies: domain fowlerortho.com registered 2007-11-13 (RDAP, rdap.verisign.com); Healthgrades lists residency 2007; site says "more than 60 years of combined experience" (doctor + team). OpenCorporates incorporation date hidden behind login; TN SOS detail page returned 503 twice.</t>
        </is>
      </c>
      <c r="AZ16" s="8" t="inlineStr">
        <is>
          <t>Not found (no team page; "more than 60 years of combined experience"; 2 open roles)</t>
        </is>
      </c>
      <c r="BA16" s="8" t="inlineStr">
        <is>
          <t>1 - site states "one-doctor, one-location practice" (https://www.fowlerortho.com/what-sets-us-apart)</t>
        </is>
      </c>
      <c r="BB16" s="8" t="inlineStr">
        <is>
          <t>Braces (several types), Invisalign, early/two-phase treatment for children, adult treatment, surgical orthodontics, palatal expanders, retainers/retention, iTero digital impressions, emergency care (sitemap: https://www.fowlerortho.com/sitemap.xml)</t>
        </is>
      </c>
      <c r="BC16" s="8" t="inlineStr">
        <is>
          <t>modern - reminder tooling (text/email/phone), patient portal "online access 24/7", iTero digital scanning, electronic forms (Ortho2); but no online scheduler, no chat/text widget, no schema</t>
        </is>
      </c>
      <c r="BD16" s="8" t="inlineStr">
        <is>
          <t>agency_managed (light) - Sesame 24-7 vertical template site with legacy Google Analytics only; no GTM, no Meta pixel, no call tracking; ads not checked this run; blog dormant since 2015</t>
        </is>
      </c>
      <c r="BE16" s="8" t="inlineStr">
        <is>
          <t>established - online since 2007 (domain), 214 Healthgrades ratings, single location, currently hiring one clinical and one front-desk role</t>
        </is>
      </c>
      <c r="BF16" s="8" t="inlineStr">
        <is>
          <t>unknown - Google and Yelp not fetchable this run; Healthgrades shows no owner replies</t>
        </is>
      </c>
      <c r="BG16" s="8" t="inlineStr">
        <is>
          <t>Not stated. Site hours are "Monday 9:00am to 5:00pm" through "Thursday 9:00am to 5:00pm"; Friday, Saturday, Sunday not listed (https://www.fowlerortho.com/office-location). Emergency Care page only says "you should call our office when you experience severe pain" / "call our office as soon as possible" with no after-hours line, voicemail instruction, answering service or 24/7 phone claim (https://www.fowlerortho.com/emergency-care). "Online access to our office 24/7" refers to the patient portal, not the phone. What happens to a call after 5pm or on Friday is unknown.</t>
        </is>
      </c>
      <c r="BH16" s="8" t="inlineStr">
        <is>
          <t>N - on-site Appointment Request form only ("Our scheduling coordinator will contact you soon to confirm your appointment"; no response-time promise, no auto-confirmation); no third-party scheduler scripts in page source (https://www.fowlerortho.com/appointment-request)</t>
        </is>
      </c>
      <c r="BI16" s="8" t="inlineStr">
        <is>
          <t>None found - page source has no chat/text/scheduler vendor scripts (checked for podium, birdeye, weave, nexhealth, calendly, tidio, intercom, drift, tawk, textline, etc.)</t>
        </is>
      </c>
      <c r="BJ16" s="8" t="inlineStr">
        <is>
          <t>Sesame 24-7 / Sesame Communications (website builder, "Website Powered by Sesame 24-7", sesamehub.com assets; Sesame also typically supplies reminders/patient portal - the "online access 24/7" and reminder-choice claims fit this); Ortho2 online forms (orthoii-forms.com custid=2866) implying Ortho2 practice management; Google Analytics legacy analytics.js; hosted email via hostedemail.com (MX); WordPress.com blog (dormant). Not present: GTM, Meta pixel, CallRail/CTM, JSON-LD schema, chat, scheduler, financing partner (CareCredit/OrthoFi not named).</t>
        </is>
      </c>
      <c r="BK16" s="8" t="inlineStr">
        <is>
          <t>Not checked (Google Ads/LSA/Meta Ad Library could not be checked this run). Negative on-site signals: no gclid/UTM landing pages, no call-tracking number swap, no Meta pixel.</t>
        </is>
      </c>
      <c r="BL16" s="8" t="inlineStr">
        <is>
          <t>Not checked - web search budget was exhausted before the two money-question checks could run; needs the free GEO audit. On-page: no application/ld+json on homepage (0 blocks); an unstructured /orthodontic-faqs page exists. Competitive set for the audit: Healthgrades lists 28 orthodontists within 10 miles of Franklin (https://www.healthgrades.com/orthodontics-directory/tn-tennessee/franklin).</t>
        </is>
      </c>
      <c r="BM16" s="8" t="inlineStr">
        <is>
          <t>PASS - Independent single-location PLLC (not chain/DSO/franchise); website live (HTTP 200, SSL); entity Active per OpenCorporates (FOWLER ORTHODONTICS, PLLC #000549400, registered agent CHAD E FOWLER at practice address); Healthgrades "accepting new patients: Yes"; inbound channels exist (phone in header, request form); not a competitor category; no 'no solicitation' notice found; no AI receptionist or answering-service vendor found; suppression.csv has no match on name or domain (Franklin Dental row is a different business in Wisconsin). GHL contact dedupe not run in this session.</t>
        </is>
      </c>
      <c r="BN16" s="8" t="inlineStr">
        <is>
          <t>D1 Decision-maker reach: 14/20 - full name + role from own site (meet-dr page) and registry (registered agent CHAD E FOWLER, FOWLER ORTHODONTICS, PLLC, OpenCorporates); named-person email drfowler@fowlerortho.com published on employment page; no secondary channel (no LinkedIn, no second phone) so not 20. | D2 Phone/after-hours gap: 9/15 - phone in header/footer but primary CTA is the request form (appointment-driven); gap proof: hours "Monday 9:00am to 5:00pm" to "Thursday 9:00am to 5:00pm", no Friday; no 24/7/answering-service mention anywhere; emergency page says "call our office". | D3 Lead-response leak: 10/15 - 2 signal types: (2) front-desk job post on site careers page; (5) no online scheduling + no chat/text + form with no response-time promise, verified in page source; no review complaints found (Google/Yelp not fetchable). | D4 AI search gap: 0/10 NO EVIDENCE - spot-check not run (search budget exhausted); note no JSON-LD on homepage. | D5 ICP fit/ability to pay: 15/15 - independently owned PLLC, "one-doctor, one-location practice", ortho on core list; proxies: online since 2007 (domain RDAP), 214 Healthgrades ratings, ortho ticket $3-6k per rubric row; "flexible payment options". | D6 Buying signals: 7/15 - live but undated hiring trigger (front desk + clinical assistant); spend groups: (d) Sesame vendor credit + Google Analytics, (e) Sesame/Ortho2 paid tools; (a) Google Ads, (b) LSA, (c) Meta Ad Library NOT CHECKED this run. | D7 Attitude/stack: 6/10 - positives: adopts tech (reminders, portal, iTero, e-forms), growth posture (hiring), SSL site; negatives: none observed; bundled vertical vendor (Sesame) present -&gt; website work is a conflict, note 'GEO + voice wedge'; review replies/social not observable. | TOTAL 61 = QUALIFIED band (55-74). Status: 6 of 7 dimensions evidenced; GHL 'E4L Services' dedupe NOT run by me (only suppression.csv checked) - loader must run ghl-contacts.js before load.</t>
        </is>
      </c>
      <c r="BO16" s="8" t="inlineStr">
        <is>
          <t>https://www.fowlerortho.com/front-desk-coordinator, https://www.fowlerortho.com/employment-opportunities, https://www.fowlerortho.com/meet-dr-chad-fowler, https://opencorporates.com/companies/us_tn/000549400, https://www.fowlerortho.com/office-location, https://www.fowlerortho.com/emergency-care, https://www.fowlerortho.com/appointment-request, https://www.fowlerortho.com/what-sets-us-apart, https://www.healthgrades.com/dentist/dr-chad-fowler-37smv, https://www.healthgrades.com/orthodontics-directory/tn-tennessee/franklin, https://www.fowlerortho.com/, https://www.fowlerortho.com/clinical-orthodontic-assistant, https://www.fowlerortho.com/patient-forms, https://www.fowlerortho.com/financial-information, https://www.fowlerortho.com/office-visits, https://www.fowlerortho.com/sitemap.xml, https://fowlerortho.wordpress.com/, https://rdap.verisign.com/com/v1/domain/fowlerortho.com, https://dns.google/resolve?name=fowlerortho.com&amp;type=MX, https://opencorporates.com/companies?q=Fowler+Orthodontics&amp;jurisdiction_code=us_tn</t>
        </is>
      </c>
      <c r="BP16" s="8" t="inlineStr">
        <is>
          <t>High</t>
        </is>
      </c>
      <c r="BQ16" s="8" t="inlineStr">
        <is>
          <t>Title detail: Orthodontist, DDS, MSD - leads the practice ("Led by... Dr. Fowler", "one-doctor, one-location practice"); registered agent of FOWLER ORTHODONTICS, PLLC as "CHAD E FOWLER" at the practice address. Explicit "owner" title not stated on site; OpenCorporates shows "1 officer" behind login.. Legal entity note: legal: FOWLER ORTHODONTICS, PLLC, TN control #000549400, status Active. Email route: drfowler@fowlerortho.com is the published resume inbox, so he reads it personally; keep the subject clearly non-recruiting so it isn't filed as an application. Call window: Tue-Thu 10am-12pm Central (office closed Fridays per site). Gatekeeper: the form page references a "scheduling coordinator" (no names found; no team page). Second decision-maker: none found. Incumbent: Sesame Communications (web + likely reminders/portal) - do not open with a website rebuild; Ortho2 is the practice-management system (online forms), so "books into your Ortho2 schedule" is the integration question to be ready for. Compliance: medical vertical - no promised results, keep health detail minimal; do not mention the 2015 Haiti mission or hobbies beyond a light touch. GEO audit set: Healthgrades shows 28 orthodontists within 10 miles. NOT CHECKED this run (log for Rozel): Google review count/rating and owner reply rate (Maps not fetchable), LinkedIn (search budget exhausted), Meta Ad Library/Google Ads/LSA, AI spot-check, TN SOS detail (503 x2 - OpenCorporates mirror used), Yelp (403), Instagram (429), Facebook (login wall), Wayback (egress blocked). Dedupe: suppression.csv clear; GHL 'E4L Services' dedupe still required before load.</t>
        </is>
      </c>
      <c r="BR16" s="10" t="inlineStr"/>
      <c r="BS16" s="10" t="inlineStr"/>
      <c r="BT16" s="10" t="inlineStr"/>
    </row>
    <row r="17" ht="120" customHeight="1">
      <c r="A17" s="8" t="inlineStr">
        <is>
          <t>20261012-16</t>
        </is>
      </c>
      <c r="B17" s="8" t="inlineStr">
        <is>
          <t>2026-10-12</t>
        </is>
      </c>
      <c r="C17" s="8" t="n">
        <v>1</v>
      </c>
      <c r="D17" s="10" t="inlineStr"/>
      <c r="E17" s="10" t="inlineStr">
        <is>
          <t>New</t>
        </is>
      </c>
      <c r="F17" s="8" t="n">
        <v>60</v>
      </c>
      <c r="G17" s="8">
        <f>IF(F17="","",IF(F17&gt;=80,"A — send today",IF(F17&gt;=60,"B — worth a touch",IF(F17&gt;=40,"C — hold","D — reject"))))</f>
        <v/>
      </c>
      <c r="H17" s="8" t="inlineStr">
        <is>
          <t>ABR Electric, LLC</t>
        </is>
      </c>
      <c r="I17" s="8" t="inlineStr">
        <is>
          <t>James</t>
        </is>
      </c>
      <c r="J17" s="8" t="inlineStr">
        <is>
          <t>Adams</t>
        </is>
      </c>
      <c r="K17" s="8" t="inlineStr">
        <is>
          <t>President / Managing Member</t>
        </is>
      </c>
      <c r="L17" s="8" t="inlineStr">
        <is>
          <t>Not found</t>
        </is>
      </c>
      <c r="M17" s="8" t="inlineStr">
        <is>
          <t>None found</t>
        </is>
      </c>
      <c r="N17" s="8" t="inlineStr">
        <is>
          <t>Not found</t>
        </is>
      </c>
      <c r="O17" s="8" t="inlineStr">
        <is>
          <t>Not found (only the main line +1 214-690-1941 appears on site, BBB, BuildZoom, directories; BBB lists it as "call or text")</t>
        </is>
      </c>
      <c r="P17" s="8" t="inlineStr">
        <is>
          <t>+1 214-690-1941</t>
        </is>
      </c>
      <c r="Q17" s="8" t="inlineStr">
        <is>
          <t>Electrical</t>
        </is>
      </c>
      <c r="R17" s="8" t="inlineStr">
        <is>
          <t>core</t>
        </is>
      </c>
      <c r="S17" s="8" t="inlineStr">
        <is>
          <t>McKinney</t>
        </is>
      </c>
      <c r="T17" s="8" t="inlineStr">
        <is>
          <t>TX</t>
        </is>
      </c>
      <c r="U17" s="8" t="inlineStr">
        <is>
          <t>They are investing in attention right now — a new blog/video on Oct 7, 2026 and monthly posts since April, BBB accreditation in March 2026, Meta Pixel + Google Tag Manager live on every page — while the published phone hours still stop at 7 PM and all weekend. Generac generator and surge-protection season is opening ahead of North Texas winter storms (their own copy: "automatic power before the storm hits"), and EV/panel permit volume rose each year 2023–2025 (BuildZoom), so the after-hours calls are high-ticket and increasing.</t>
        </is>
      </c>
      <c r="V17" s="8" t="inlineStr">
        <is>
          <t>Growth-Minded Operator (secondary: Tech-Forward Early Adopter)</t>
        </is>
      </c>
      <c r="W17" s="8" t="inlineStr">
        <is>
          <t>Voice AI live demo (DEMO PATH, call-first): build the demo line from abrelectric.com before Sam dials so he can give James/Nathan a number to call and try to break; pair with missed-call text-back for the Sat–Sun and post-7PM gap. Second touch after a reply: the free AI Search Visibility audit (run D4 first — they already monitor AI/SEO visibility, so bring real screenshots, not a generic claim).</t>
        </is>
      </c>
      <c r="X17" s="8" t="inlineStr">
        <is>
          <t>Recover</t>
        </is>
      </c>
      <c r="Y17" s="8" t="inlineStr">
        <is>
          <t>Saturday calls at ABR Electric</t>
        </is>
      </c>
      <c r="Z17" s="8" t="inlineStr">
        <is>
          <t>Your "Fear Selling" video is the most honest thing I've seen an electrician publish — and your site says the phones close at 7pm and all weekend.</t>
        </is>
      </c>
      <c r="AA17" s="8" t="inlineStr">
        <is>
          <t>Missed-call / after-hours coverage, demo-first. Facts it rests on: (1) hours "Mon–Fri 7AM–7PM, Sat–Sun Closed" with no after-hours answering anywhere; (2) phone is the primary CTA and the contact page sends emergencies to the phone; (3) the calls at stake are $6k–$8k panel upgrades, EV chargers and Generac installs (their own published pricing). Pitch: a receptionist trained on abrelectric.com that picks up what already rings out — evenings, weekends, and when Wendy's line is busy — triages real safety emergencies (sparking, burning smell), captures name/number/job/urgency and books the estimate; go-live is one conditional call-forwarding rule, rollback one dial code; nothing to pay before they hear it. Do not pitch replacing the office; position as overflow + after-hours only. Secondary angle (second touch): AI search visibility — they already run schema and a blog, so "here is who ChatGPT names for EV charger installer in McKinney" is a peer-level conversation, but only after the audit is actually run.</t>
        </is>
      </c>
      <c r="AB17" s="8" t="inlineStr">
        <is>
          <t>"We already have an office that answers, our reviews say communication is great, and I don't want a robot talking to my customers." (Evidence: reviews on their own site praise "the office" calling ahead; the owner's brand is "done right" and honesty.) Handling: agree — it is not for the calls they already answer; it only catches the ones that already go to voicemail after 7, on weekends, and when the line is busy, and the caller still gets a human callback, just with the job already qualified and on the calendar. Then hand him the demo number: "You teach people to test the breaker — call it and try to break it." Secondary objection: "AI receptionist vendors already call me" (they appear in an AI-receptionist vendor's directory) — differentiate on the demo built from their own site before any payment and no long contract.</t>
        </is>
      </c>
      <c r="AC17" s="8" t="inlineStr">
        <is>
          <t>"Hi, is this James? This is Sam with Eat 4 Life Marketing — I'll be upfront, this is a cold call, so feel free to cut me off. I was on ABR Electric's site last night: hours say Monday to Friday 7 to 7, closed weekends, and nothing about who picks up after that. A lot of the panel-upgrade and EV-charger calls you're already paying for come in Saturday morning or at 8 at night. We build a demo receptionist trained on your own website — it answers those calls, sorts out the real emergencies, and books the estimate — and you can call it and try to break it before you ever pay a dollar. Can I take 20 seconds to tell you how it works, and you tell me if it's worth a look?"</t>
        </is>
      </c>
      <c r="AD17" s="8" t="inlineStr">
        <is>
          <t>Tue–Thu 8:00–8:45 AM CT — inside both the site's 7AM–7PM hours and the narrower 8AM–4PM hours directories show from the Google listing, and before crews dispatch to jobs; a customer review on the company's own review page names "Wendy in the office" as the person keeping customers updated, so expect a staffed office line, not the owner. Fallback: Tue–Thu 3:00–3:45 PM CT, before the 4 PM directory-listed close. Never Sat/Sun (closed).</t>
        </is>
      </c>
      <c r="AE17" s="8" t="inlineStr">
        <is>
          <t>Site: "Mon–Fri: 7AM–7PM / Sat–Sun: Closed" (https://abrelectric.com/ and https://abrelectric.com/contact/; JSON-LD openingHoursSpecification Mon–Fri 07:00–19:00). CONFLICT: Google-listing-sourced directory (serviceagent.ai) shows Monday 9 AM–4 PM, Tue–Fri 8 AM–4 PM, Sat–Sun closed. Live GBP not fetched — verify before Sam dials.</t>
        </is>
      </c>
      <c r="AF17" s="8" t="inlineStr">
        <is>
          <t>America/Chicago (Central Time)</t>
        </is>
      </c>
      <c r="AG17" s="8" t="inlineStr">
        <is>
          <t>Main line +1 214-690-1941 is a staffed office line during the day: a review on the company's own review page says "Wendy in the office kept me in the loop" and another says "The office and technician both notified me the tech would arrive earlier" (https://abrelectric.com/review/) — expect Wendy or another office staffer to answer; open with "Hi Wendy, is James around this morning?" Decision-makers: James Adams (owner, President/Managing Member, Master Electrician) and Nathan Tiner (COO per BBB; a site review names "Nathan" walking a customer through Tesla charger panel options, so he is hands-on with quotes and the natural champion/forward-to person). Cynthia E. Adams is listed as Managing Member on BBB (co-owner on the business record). No owner cell or direct line published. BBB lists the main number as "call or text" — manual human dial only; no SMS, autodial, or AI voice without consent. No answering service, IVR, or AI receptionist is mentioned anywhere; Sam should log who/what answers (human, voicemail, IVR) on the first dial, including an optional after-7PM dial to confirm the gap.</t>
        </is>
      </c>
      <c r="AH17" s="8" t="inlineStr">
        <is>
          <t>The Oct 7, 2026 blog/video "Whole House Surge Protection with Vortexx" (https://abrelectric.com/blog/) and the home-page-embedded YouTube video "Fear Selling: How Electrical Companies Manipulate Homeowners" — recent, public, positive, and about his own voice as an educator; backup: "Nearly 12,000 subscribers tune in for real electrical education" (https://abrelectric.com/about-us/). Pair with the neutral phone-process observation (hours close at 7 and weekends).</t>
        </is>
      </c>
      <c r="AI17" s="8" t="inlineStr">
        <is>
          <t>(1) After-hours/weekend gap in an urgent trade: "Mon–Fri: 7AM–7PM / Sat–Sun: Closed" with no 24/7, emergency, or answering-service mention anywhere (https://abrelectric.com/, https://abrelectric.com/contact/). (2) Emergency callers are told to phone, not form: "For an active electrical emergency, call rather than waiting on a form response." (contact page) — nothing says who answers when the office is closed. (3) Booking/contact friction: no online scheduling, no chat, no text-us; quote form has no response-time promise (page source, 2026-10-13). (4) High-ticket inquiries at stake: "A full 200-amp service upgrade often ranges from $6,000–$8,000." (https://abrelectric.com/mckinney/); EV, Generac and panel work with financing. (5) Possible narrower real hours: Google-listing-sourced directory shows Mon 9–4, Tue–Fri 8–4 (serviceagent.ai) — if accurate, the phone gap is 3+ hours every weekday evening plus weekends. Null log: no reachability complaints found (Google/Yelp not fetchable; site-published reviews praise communication: "They called ahead, communicated clearly"; "The team responded quickly"); no front-office job post found (Indeed 403; no search budget); BBB 0 complaints.</t>
        </is>
      </c>
      <c r="AJ17" s="8" t="inlineStr">
        <is>
          <t>2026-10-07: new blog/video post "Whole House Surge Protection with Vortexx" (https://abrelectric.com/blog/) — active content push, monthly posts since 2026-04-03 (suggests a 2026 site rebuild; Wayback unreachable to confirm). 2026-03-23: BBB Accreditation (https://www.bbb.org/us/tx/mckinney/profile/electrician/abr-electric-llc-0875-90380417) — 204 days old. 2025-06-30: Change of Registered Agent/Office filing (OpenCorporates). 2025-11-01: most recent permit shown in BuildZoom's sample list (934 Newcastle Dr, Allen); BuildZoom counts 116 permits in 2025 and 12 in 2026 year-to-date (https://www.buildzoom.com/contractor/abr-electric-2). Seasonal: Generac standby-generator and surge-protection season ahead of North Texas winter storms (site advertises "automatic power before the storm hits"). No hiring trigger found (not searchable this session).</t>
        </is>
      </c>
      <c r="AK17" s="8" t="inlineStr">
        <is>
          <t>Confidence medium-high (5 signals, 4 source categories). (1) Website updated recently: copyright "© 2026 ABR Electric", financing offer, GTM + Meta Pixel, monthly blog posts dated Apr 3 2026 through Oct 7 2026 (https://abrelectric.com/blog/). (2) Consistent owner-voiced content: YouTube "11.9K subscribers", "432 videos", owner on camera in "ABR FIELD LAB" (https://abrelectric.com/gfci-hair-dryer-water/; youtube.com/@abrelectric). (3) Growth posture: BBB Accredited since 3/23/2026 (https://www.bbb.org/us/tx/mckinney/profile/electrician/abr-electric-llc-0875-90380417); 1,049 permitted projects with rising counts 97 (2023), 105 (2024), 116 (2025) (https://www.buildzoom.com/contractor/abr-electric-2); added a workshops revenue line (https://abrelectric.com/workshops/); "Over 1,200 North Texas Homes Trust ABR Electric" (EV page). (4) Tech-forward: Electrician JSON-LD schema with hours and areaServed on every page, Next.js build, pixels, Google Workspace mail, robots.txt disallows an "/AI/" path titled "Private AI &amp; SEO Reports" (they already track AI/SEO visibility — do not cite in outreach). (5) Customer-communication culture praised in site-published reviews: "The office and technician both notified me the tech would arrive earlier than scheduled" and "They called ahead, communicated clearly, and charged exactly what they quoted" (https://abrelectric.com/review/). No contradicting signals: no hostile replies seen, no anti-marketing or anti-AI statements, no "we answer our own phones" claim. Unchecked: paid ads, hiring, GBP reply behavior.</t>
        </is>
      </c>
      <c r="AL17" s="8" t="inlineStr">
        <is>
          <t>Veteran-owned, self-published: the About page's "Veteran Owned" section is headed "Airborne Ranger" with the line "Service, discipline, and accountability shape how ABR Electric approaches every home, every customer, and every job." (https://abrelectric.com/about-us/). Master Electrician (TDLR #220484) and licensed electrical contractor (TECL #27762) per site. Expertise.com (third-party, LIKELY) says "Its owner, James Adams, is a Master Electrician with three decades of experience in the trade." Runs a YouTube education channel since 2014 and teaches $325 licensing-prep workshops (Residential Wireman, Texas RAIL) — an educator posture. Prior career / trade school: Not found.</t>
        </is>
      </c>
      <c r="AM17" s="8" t="inlineStr">
        <is>
          <t>Tone: warm-direct, technical, educational, anti-hype. Verbatim voice lines: (1) "Do it right, make a positive memory, and have fun." (hero, https://abrelectric.com/); (2) "Our primary business is people—with a side job of full-time electrical." — James Adams · Master Electrician (https://abrelectric.com/about-us/); (3) "Nearly 12,000 subscribers tune in for real electrical education—what trips a breaker, what causes a fire, and what 'done right' looks like behind the wall." (about page); (4) YouTube video title "Fear Selling: How Electrical Companies Manipulate Homeowners" (embedded on the home page; youtube.com/@abrelectric). Bragging points: Tesla Certified Installer, Authorized Generac Dealer, Schneider Electric "Proud Partner", BBB A+ Accredited, "Upfront Pricing — No Surprises", "On-Time Arrival Guarantee", "100% Satisfaction Warranty". Publishes real prices on the site ($75 service call; $6,000–$8,000 for a 200-amp upgrade) — values transparency and proof. Niche playbook fit: will call the demo and try to break it; keep it short, concrete, no hype.</t>
        </is>
      </c>
      <c r="AN17" s="8" t="inlineStr">
        <is>
          <t>Owner-operator</t>
        </is>
      </c>
      <c r="AO17" s="8" t="inlineStr">
        <is>
          <t>Not found (one site:linkedin.com X-ray for "ABR Electric" McKinney returned no profile; search budget then exhausted — unconfirmed, not "none exists")</t>
        </is>
      </c>
      <c r="AP17" s="8" t="inlineStr">
        <is>
          <t>Company YouTube https://youtube.com/@abrelectric — "11.9K subscribers", "432 videos", "3,108,804 views", "Joined Jun 7, 2014"; channel description opens "Welcome to ABR Electric – McKinney's Top-Rated Electrician!"; James Adams appears on camera per the site's "ABR FIELD LAB" video (https://abrelectric.com/gfci-hair-dryer-water/). Facebook and TikTok pages are linked from the BBB profile but not fetchable logged-out (Facebook returned the login wall; TikTok returned no profile content). Owner personal socials: Not found.</t>
        </is>
      </c>
      <c r="AQ17" s="8" t="inlineStr">
        <is>
          <t>https://abrelectric.com</t>
        </is>
      </c>
      <c r="AR17" s="8" t="inlineStr">
        <is>
          <t>Not found (no email or mailto: on home/about/contact/financing/review pages or in page source; none on BBB or OpenCorporates; domain MX present = smtp.google.com, so a mailbox exists but is unpublished)</t>
        </is>
      </c>
      <c r="AS17" s="8" t="inlineStr">
        <is>
          <t>1971 Univ Business Dr #106</t>
        </is>
      </c>
      <c r="AT17" s="8" t="inlineStr">
        <is>
          <t>75071</t>
        </is>
      </c>
      <c r="AU17" s="8" t="inlineStr">
        <is>
          <t>McKinney, Allen, Frisco, Plano, Prosper, Celina, Anna, Melissa, Princeton, Murphy, Wylie, Fairview (city pages in sitemap.xml); "greater Collin County" (about page). JSON-LD areaServed: McKinney, Allen, Frisco, Plano, Prosper, Celina.</t>
        </is>
      </c>
      <c r="AV17" s="8" t="inlineStr">
        <is>
          <t>https://g.page/r/Cblo2T3-7nxbEBE (company's own GBP short link published on https://abrelectric.com/review/)</t>
        </is>
      </c>
      <c r="AW17" s="8" t="inlineStr">
        <is>
          <t>5.0 (97) per expertise.com/tx/mckinney/electricians; 4.9 (147) per serviceagent.ai directory (states it is sourced from the Google listing); 4.9 (152) per lantern.llc snippet. Live GBP not fetched.</t>
        </is>
      </c>
      <c r="AX17" s="8" t="inlineStr">
        <is>
          <t>Google 97-152 (directory figures, live GBP not fetched); Yelp 4.9 (99) per expertise.com (Yelp page 403); Facebook 5.0 (8) per expertise.com; BBB 9 reviews, A+, 0 complaints in 3 years. Site claims "Over 1,200 North Texas Homes Trust ABR Electric" (https://abrelectric.com/ev-charger-installation/).</t>
        </is>
      </c>
      <c r="AY17" s="8" t="inlineStr">
        <is>
          <t>2010 per BBB "Business Started" 11/5/2010 (~16 years). CONFLICT: entity "ABR Electric LLC" (TX co. no. 0804324904) Certificate of Formation 2021-11-23 per OpenCorporates; two older inactive TX corporations "A B R Electric, Inc." / "A-B-R Electric, Inc." also listed — hypothesis: earlier corp/sole-prop reorganized into the LLC in 2021. Domain abrelectric.com registered 2013-11-16 (RDAP); YouTube channel joined Jun 7, 2014.</t>
        </is>
      </c>
      <c r="AZ17" s="8" t="inlineStr"/>
      <c r="BA17" s="8" t="inlineStr">
        <is>
          <t>1 (1971 Univ Business Dr #106, McKinney, TX 75071 — site, BBB, BuildZoom and JSON-LD agree)</t>
        </is>
      </c>
      <c r="BB17" s="8" t="inlineStr">
        <is>
          <t>Tesla-certified / universal EV charger installation (Tesla Wall Connector, ChargePoint); 200-amp panel upgrades (Schneider Electric partner; site quotes "$6,000–$8,000"); Generac standby generators (Authorized Generac Dealer); PSP Vortexx whole-home surge protection; dedicated circuits; interior/exterior/landscape lighting; outlets &amp; switches; smoke detectors; troubleshooting ("$75 service call, $150 advanced troubleshooting"); commercial electrical; code compliance &amp; inspections; financing "may be available" for panels/EV/generators. Side line: $325 hands-on workshops (Homeowner, Residential Wireman exam prep, Texas RAIL exam prep) at /workshops/.</t>
        </is>
      </c>
      <c r="BC17" s="8" t="inlineStr">
        <is>
          <t>modern — Next.js site (© 2026, SSL), schema.org Electrician JSON-LD (telephone, openingHoursSpecification, areaServed) on every page, Google Tag Manager + gtag + Meta Pixel (id 950225997371538), Google Maps and YouTube embeds, Google Workspace mail (MX smtp.google.com), consumer financing offered (vendor not named), main line listed "call or text" on BBB, an "AI &amp; SEO Reports" private workspace at /AI/ (robots-disallowed; index page only seen — do not cite). Missing: no online booking, no chat, no text-us widget, no call tracking, no FAQPage schema. tech_tools_detected: GTM, gtag, Meta Pixel, Google Workspace, schema.org JSON-LD.</t>
        </is>
      </c>
      <c r="BD17" s="8" t="inlineStr">
        <is>
          <t>in_house_team / diy-plus — no agency footer credit or vendor platform in source; owner-produced YouTube channel (432 videos) and a monthly blog with embedded videos; pixels installed; published pricing pages; Expertise.com listing. Paid ads not checked (Meta Ad Library / Google Ads Transparency not fetchable this session).</t>
        </is>
      </c>
      <c r="BE17" s="8" t="inlineStr">
        <is>
          <t>established / scaling — in business since 2010 (BBB), 100+ reviews across Google and Yelp, permit volume rising 97→105→116 (2023–2025, BuildZoom), BBB accreditation added March 2026, new workshops line, active 2026 content push; no hiring data (Indeed 403, no search budget).</t>
        </is>
      </c>
      <c r="BF17" s="8" t="inlineStr">
        <is>
          <t>unknown — Google and Yelp review pages not fetchable (Yelp 403; GBP not reachable); BBB shows 0 complaints. The company's own review page promises private feedback "We'll reply within 24 hours." (https://abrelectric.com/review/).</t>
        </is>
      </c>
      <c r="BG17" s="8" t="inlineStr">
        <is>
          <t>hours_only — Site: "Mon–Fri: 7AM–7PM / Sat–Sun: Closed" (home + contact pages; JSON-LD Mon–Fri 07:00–19:00). No 24/7, emergency line, after-hours number, answering service, call center, or AI receptionist mentioned anywhere on the site or in page source. Contact page: "For an active electrical emergency, call rather than waiting on a form response." and "Clear information helps us prepare the right questions before we call." (https://abrelectric.com/contact/). Google-listing-sourced directory hours are even narrower (Mon 9–4, Tue–Fri 8–4; serviceagent.ai). Who answers after 7 PM / weekends: not stated = the gap.</t>
        </is>
      </c>
      <c r="BH17" s="8" t="inlineStr">
        <is>
          <t>No — only a "Get Your Free Quote" form (name, email, phone, service, project) on home/contact/service pages; no scheduling vendor script in source (checked calendly, acuity, housecallpro, servicetitan, jobber, workiz, fieldedge: none); no response-time promise or auto-confirmation on the quote form.</t>
        </is>
      </c>
      <c r="BI17" s="8" t="inlineStr">
        <is>
          <t>None — no chat, AI chat, text-us, or click-to-text widget; page source checked for podium, birdeye, nicejob, tidio, intercom, drift, tawk, livechat, textline, weave, leadconnector/gohighlevel, hubspot: none. BBB lists the main number as "(214) 690-1941 (call or text)" — texting the main line is possible but unadvertised on the site.</t>
        </is>
      </c>
      <c r="BJ17" s="8" t="inlineStr">
        <is>
          <t>Google Tag Manager, gtag, Meta Pixel (950225997371538), Next.js/React site build, Google Maps embed, YouTube embeds (RgkU8vSPIm0, oJNbBP5MNE8), Google Workspace mail (MX), schema.org Electrician JSON-LD, Yelp review link (biz id CNfk82phmvTvVTIM8ww27A), Google review link (g.page/r/Cblo2T3-7nxbEBE). NOT detected: CallRail/CTM, any booking/chat/text vendor, any financing vendor (Wisetack/GreenSky/Synchrony/Hearth), any agency credit (Scorpion/Hibu/Thryv/RYNO), any AI receptionist or answering service (Smith.ai, Goodcall, Dialzara, Ruby, AnswerConnect). Note: serviceagent.ai (an AI-receptionist vendor's directory) lists ABR, so they may already have been pitched by AI-receptionist vendors.</t>
        </is>
      </c>
      <c r="BK17" s="8" t="inlineStr">
        <is>
          <t>not checked — Meta Ad Library and Google Ads Transparency Center are JS apps and the session's web-search budget was exhausted; no Sponsored/LSA check possible. Spend infrastructure confirmed: Meta Pixel + Google Tag Manager on every page (source scan 2026-10-13), i.e. set up to run and measure paid traffic.</t>
        </is>
      </c>
      <c r="BL17" s="8" t="inlineStr">
        <is>
          <t>not checked — the 2 money-question spot-checks ("emergency electrician near McKinney, TX", "most reliable electrician in McKinney, TX") could not be run: WebSearch budget exhausted and ChatGPT/Perplexity/Gemini not reachable from this session. Schema check done: Electrician JSON-LD with hours/areaServed present on every page; no FAQPage schema (FAQ content exists unmarked on /mckinney/). Named in 0 of 0 AI answers (not checked). Caution: robots.txt disallows an /AI/ "Private AI &amp; SEO Reports" workspace, so they already monitor AI visibility — run the full D4/GEO audit before using the audit line, and expect a sophisticated listener.</t>
        </is>
      </c>
      <c r="BM17" s="8" t="inlineStr">
        <is>
          <t>PASS — Chain/franchise: no (single location, no franchise language, veteran-owned, owner-named; not in CHAIN_HINTS). Website: own domain live, HTTPS 200, modern © 2026. Live US business: BBB A+ accredited 3/2026 with 0 complaints; TX entity "In Existence" (OpenCorporates co. 0804324904); permits through 2025-10-18 (BuildZoom); blog post 2026-10-07; no closing/for-sale notice. Inbound channel: phone in header + quote form. Not a competitor/non-buyer category. Not already automated: no AI receptionist, answering service, or GEO vendor credited anywhere. Not in E4L's world: grep of suppression.csv and seen.csv for "abr" / "abrelectric" returned no match; no geo/audits or demo-pool folder for the business. Caveat: GHL E4L Services sub-account dedupe not run this session.</t>
        </is>
      </c>
      <c r="BN17" s="8" t="inlineStr">
        <is>
          <t>D1 Decision-maker reach: 8/20 — Full name + role cited from 4 sources: BBB principal "James A. Adams, President/Managing Member"; site "Master Electrician James Adams" (abrelectric.com/about-us/); registered agent James A. Adams of ABR Electric LLC (opencorporates.com/companies/us_tx/0804324904); "Owned by: James Adams" (buildzoom.com/contractor/abr-electric-2). No email on any public page, no direct line, no LinkedIn found → form + staffed main line only = 8, route call-first / DEMO PATH. | D2 Phone-coverage gap: 15/15 — phone-first ("Call now (214) 690-1941" in header, tel: link 19x on home, bottom "Call ABR Electric · (214) 690-1941" bar; quote form secondary) AND gap proof: hours "Mon–Fri: 7AM–7PM / Sat–Sun: Closed" (home + contact; JSON-LD 07:00–19:00 Mon–Fri), electrical is inherently urgent, and no 24/7 / answering service / AI receptionist mentioned on site or in source; contact page: "For an active electrical emergency, call rather than waiting on a form response." | D3 Lead-response leak: 5/15 — exactly 1 signal type: (5) friction — no scheduling/chat/text vendor scripts in source and no response-time promise on the quote form. Logged null: Google/Yelp reviews unfetchable (403), Indeed 403, no search budget for job boards; BBB 0 complaints; site-published reviews praise communication. | D4 AI search gap: 0/10 NO EVIDENCE — no AI platform could be checked this session; schema present (Electrician JSON-LD, no FAQPage). "Named in 0 of 0 AI answers (not checked)". | D5 ICP fit / ability to pay: 15/15 — (a) independent, 1 location, veteran-owned, named owner; (b) electrical = core niche; (c) 5 proxies: since 2010 (BBB), 100+ reviews (Google 97–152, Yelp 99), 3+ named staff (James, Nathan COO, Jason, Andy, "Wendy in the office" on abrelectric.com/review/), ticket ≥ $1,000 ("$6,000–$8,000" 200-amp upgrade on /mckinney/, financing offered), 12-city service area, 1,049 permits (BuildZoom). | D6 Buying signals: 7/15 — spend group (d) confirmed: GTM + Meta Pixel in source; (a)(b)(c) not checked (ad libraries unfetchable); only soft dated activity (blog/video 2026-10-07; BBB accreditation 2026-03-23 is 204 days old). | D7 Attitude / stack: 10/10 — net 4 positives: modern © 2026 site; tech adoption (financing, schema, pixels, call-or-text line); owner-voiced content within 60 days (blog/video Oct 7 2026; YouTube 11.9K subs, 432 videos); growth posture (BBB accreditation 2026, workshops line, "Over 1,200 homes"). No negatives observed; no bundled agency or AI-receptionist vendor credited. GBP reply behavior unknown. | TOTAL 60/100 = QUALIFIED band. Status TRUSTED-with-caveat: 6 of 7 dimensions evidenced (D4 missing), D1 positive citation, D2 direct quoted hours, D5 evidenced; hard-disqualifier pass recorded PASS but GHL "E4L Services" dedupe (ghl-contacts.js) was not run in this session. DEMO PATH = yes (phone-first, D2 ≥ 9, named owner, no email). Not eligible for SEND TODAY until the D4 spot-check is run on at least one platform.</t>
        </is>
      </c>
      <c r="BO17" s="8" t="inlineStr">
        <is>
          <t>https://abrelectric.com/, https://abrelectric.com/contact/, https://abrelectric.com/about-us/, https://www.bbb.org/us/tx/mckinney/profile/electrician/abr-electric-llc-0875-90380417, https://abrelectric.com/review/, https://abrelectric.com/mckinney/, https://abrelectric.com/financing/, https://abrelectric.com/blog/, https://abrelectric.com/workshops/, https://abrelectric.com/ev-charger-installation/, https://abrelectric.com/gfci-hair-dryer-water/, https://abrelectric.com/robots.txt, https://abrelectric.com/sitemap.xml, https://youtube.com/@abrelectric, https://opencorporates.com/companies/us_tx/0804324904, https://www.buildzoom.com/contractor/abr-electric-2, https://www.expertise.com/tx/mckinney/electricians, https://serviceagent.ai/directory/texas/mckinney/electrician/abr-electric/, https://g.page/r/Cblo2T3-7nxbEBE, https://rdap.verisign.com/com/v1/domain/abrelectric.com</t>
        </is>
      </c>
      <c r="BP17" s="8" t="inlineStr">
        <is>
          <t>Medium</t>
        </is>
      </c>
      <c r="BQ17" s="8" t="inlineStr">
        <is>
          <t>Title detail: President / Managing Member (BBB principal: "James A. Adams, President/Managing Member"); Master Electrician (site: "Master Electrician James Adams"; TDLR Master Electrician #220484, TECL #27762 on site); registered agent of ABR Electric LLC (OpenCorporates). 1) Route: DEMO PATH / call-first — no email anywhere public (MX exists, so a mailbox is unpublished; do not pattern-guess). Build the voice demo from abrelectric.com before Sam's call. 2) D4 not run: the AI spot-check and ad-library checks were impossible this session (search budget exhausted; GBP/Yelp/Facebook/LinkedIn/Indeed/ad libraries unfetchable). Run the GEO audit before quoting any "Named in X of Y" line. 3) Caution: robots.txt on their site disallows an "/AI/" path titled "Private AI &amp; SEO Reports" — they (or a web vendor) already monitor AI/SEO visibility. I only saw the public index title and did not go further; do not reference it in outreach, and expect James to already understand GEO. 4) Hours conflict: site says 7AM–7PM; a Google-listing-sourced directory says 8AM–4PM — if the Google listing is right, the evening gap is bigger than the site implies; Sam can confirm by what answers at 5 PM. 5) Owner profile: veteran-owned ("Airborne Ranger" on the About page), Master Electrician, YouTube educator (11.9K subs, 432 videos), teaches licensing workshops, publishes prices — pragmatic, proof-driven, anti-hype; lead with the demo number, no hype words, no "AI" in the subject line. 6) Second decision-maker: Nathan Tiner, COO (BBB) — hands-on with quotes per a site review; Cynthia E. Adams is Managing Member (business record only). Gatekeeper: "Wendy in the office" (customer review on their site). 7) Entity: ABR Electric LLC formed 2021-11-23 (TX co. 0804324904) vs BBB "started 2010" — CONFLICT, likely reorg from the older inactive A B R Electric, Inc.; the Plano registered-agent address on OpenCorporates may be residential — not recorded. 8) GHL "E4L Services" dedupe (ghl-contacts.js by domain/phone/name+city) was not run in this session — run before loading. 9) They appear in serviceagent.ai's directory (an AI-receptionist vendor), so they have likely been pitched by competitors — differentiate on the pre-paid live demo built from their own site and the one-rule go-live/rollback. 10) Compliance: main line is "call or text" per BBB but no SMS consent exists — manual dial only.</t>
        </is>
      </c>
      <c r="BR17" s="10" t="inlineStr"/>
      <c r="BS17" s="10" t="inlineStr"/>
      <c r="BT17" s="10" t="inlineStr"/>
    </row>
    <row r="18" ht="120" customHeight="1">
      <c r="A18" s="8" t="inlineStr">
        <is>
          <t>20261012-17</t>
        </is>
      </c>
      <c r="B18" s="8" t="inlineStr">
        <is>
          <t>2026-10-12</t>
        </is>
      </c>
      <c r="C18" s="8" t="n">
        <v>1</v>
      </c>
      <c r="D18" s="10" t="inlineStr"/>
      <c r="E18" s="10" t="inlineStr">
        <is>
          <t>New</t>
        </is>
      </c>
      <c r="F18" s="8" t="n">
        <v>60</v>
      </c>
      <c r="G18" s="8">
        <f>IF(F18="","",IF(F18&gt;=80,"A — send today",IF(F18&gt;=60,"B — worth a touch",IF(F18&gt;=40,"C — hold","D — reject"))))</f>
        <v/>
      </c>
      <c r="H18" s="8" t="inlineStr">
        <is>
          <t>ABE'S Electric, Inc.</t>
        </is>
      </c>
      <c r="I18" s="8" t="inlineStr">
        <is>
          <t>Abraham</t>
        </is>
      </c>
      <c r="J18" s="8" t="inlineStr">
        <is>
          <t>Valentin</t>
        </is>
      </c>
      <c r="K18" s="8" t="inlineStr">
        <is>
          <t>Owner</t>
        </is>
      </c>
      <c r="L18" s="8" t="inlineStr">
        <is>
          <t>contact@abeselectric.com</t>
        </is>
      </c>
      <c r="M18" s="8" t="inlineStr">
        <is>
          <t>Generic (info@/office@)</t>
        </is>
      </c>
      <c r="N18" s="8" t="inlineStr">
        <is>
          <t>Confirmed</t>
        </is>
      </c>
      <c r="O18" s="8" t="inlineStr">
        <is>
          <t>Not found</t>
        </is>
      </c>
      <c r="P18" s="8" t="inlineStr">
        <is>
          <t>+1 407-343-0220 (Central FL main line, 28 tel: links on site); +1 941-417-8333 (West FL / Bradenton line, footer); BBB also lists +1 877-407-2237 (toll-free, possibly legacy) and fax 866-888-9871</t>
        </is>
      </c>
      <c r="Q18" s="8" t="inlineStr">
        <is>
          <t>Electrical (residential service + commercial/industrial; panels, EV chargers, generators, rewires)</t>
        </is>
      </c>
      <c r="R18" s="8" t="inlineStr">
        <is>
          <t>core</t>
        </is>
      </c>
      <c r="S18" s="8" t="inlineStr">
        <is>
          <t>Kissimmee</t>
        </is>
      </c>
      <c r="T18" s="8" t="inlineStr">
        <is>
          <t>FL</t>
        </is>
      </c>
      <c r="U18" s="8" t="inlineStr">
        <is>
          <t>Three field openings are live on the careers page (capacity is the constraint, not demand), hurricane season is still open and their generator page is selling into it, and the 2026 site is brand-new with guides "on the way" — they are actively investing in web presence and crew, while every page still routes callers to a shop line that closes at 5. No FAQPage schema yet, so the GEO audit is a natural second touch.</t>
        </is>
      </c>
      <c r="V18" s="8" t="inlineStr">
        <is>
          <t>Growth-Minded Operator (medium confidence: 3 signals across 2 source categories); secondary: Family-Legacy Pride Brand</t>
        </is>
      </c>
      <c r="W18" s="8" t="inlineStr">
        <is>
          <t>Voice AI live demo — build the demo line from abeselectric.com (demo_build = yes; D2 = 15, phone-first, scrapable site); pair with missed-call text-back. Run the free GEO audit as the second touch only after the D4 spot-check (no FAQPage schema = easy wedge).</t>
        </is>
      </c>
      <c r="X18" s="8" t="inlineStr">
        <is>
          <t>Recover</t>
        </is>
      </c>
      <c r="Y18" s="8" t="inlineStr">
        <is>
          <t>After 5 at ABE'S Electric</t>
        </is>
      </c>
      <c r="Z18" s="8" t="inlineStr">
        <is>
          <t>Abe — your site says "call now and talk to someone in the shop," and the shop closes at 5, which is about when a Kissimmee homeowner finally sits down to call about a panel or a generator.</t>
        </is>
      </c>
      <c r="AA18" s="8" t="inlineStr">
        <is>
          <t>After-hours and on-the-ladder coverage, not "AI": a receptionist line trained on abeselectric.com that only picks up what already goes to voicemail — after 5, weekends, and while the crew is on a job — qualifies the caller (name, number, job, urgency) and books the estimate; the shop still answers live 7:30–5. Tie it to what is on their own site: hiring three electricians and pushing generators for hurricane season means more inbound than one shop line can catch. Proof lever: "you can call the demo line and try to break it before anyone pays a dollar." Go-live is one conditional call-forwarding rule for missed/busy calls; rollback is one dial code.</t>
        </is>
      </c>
      <c r="AB18" s="8" t="inlineStr">
        <is>
          <t>"We answer our own phones — a real person, not a call center" (it is on their homepage). Answer: nothing changes during 7:30–5; this only catches the calls that already hit voicemail after 5, on weekends, or when the shop line is busy, and it books them instead of losing them. Secondary: "most of our work is repeat/referral and commercial GC work" — agree, then point out the residential panel/EV/generator caller is the one who dials the next Google result when nobody picks up.</t>
        </is>
      </c>
      <c r="AC18" s="8" t="inlineStr">
        <is>
          <t>"Hi, is this Abe? Sam with Eat 4 Life Marketing — I'll be honest, this is a cold call, so feel free to hang up on me. I'm calling because your site says 'call now and talk to someone in the shop,' and the shop closes at five — I'm curious who catches the panel-upgrade and generator calls that come in after that, or while everyone's out on a job. We build a receptionist line trained on your own website that you can call and test before anyone pays a dollar. Can I take twenty seconds to explain, and you tell me if it's worth a longer look?"</t>
        </is>
      </c>
      <c r="AD18" s="8" t="inlineStr">
        <is>
          <t>Tue–Thu 8:00–8:30 AM ET — the shop opens 7:30 and the site says "Call now and talk to someone in the shop," so a human is on the line before crews are dispatched; start at 8:00, not 7:30, because Florida's telemarketing window is 8 AM–8 PM. Second window Tue–Thu 4:00–4:50 PM ET before the 5:00 close. Avoid Mondays (post-weekend backlog) and Fridays after 3.</t>
        </is>
      </c>
      <c r="AE18" s="8" t="inlineStr">
        <is>
          <t>Mon–Fri 7:30 AM–5:00 PM ET; Sat–Sun not listed (site footer and JSON-LD openingHoursSpecification Mon–Fri 07:30–17:00 at https://www.abeselectric.com/; GBP hours not reachable this run)</t>
        </is>
      </c>
      <c r="AF18" s="8" t="inlineStr">
        <is>
          <t>America/New_York (Eastern)</t>
        </is>
      </c>
      <c r="AG18" s="8" t="inlineStr">
        <is>
          <t>The main line (407) 343-0220 is answered in-house during 7:30–5 ("you'll speak with a real person, not a call center"; "Someone in the shop reads these"). No dispatcher or office manager is named anywhere public. On-site Google reviews pair "Lisa and Abe" as the people who "were excellent providing the information I needed" — Lisa is likely the office-side contact; BBB lists Lelia Valentin as President. Do NOT assume Lisa = Lelia; ask "Is Abe in the shop, or is Lisa the better person for the office side?" The (941) 417-8333 West FL line and BBB's (877) 407-2237 are alternates, not owner lines. No answering service, IVR or AI agent detected; after 5 PM expect voicemail (unconfirmed — log what actually answers).</t>
        </is>
      </c>
      <c r="AH18" s="8" t="inlineStr">
        <is>
          <t>The site is brand-new for 2026 and still being filled in (Resources page: "Guides Are On The Way ... Until they're published ... call the shop") while they are hiring a Journeyman, an Apprentice and a Service Technician and pushing generators for hurricane season — i.e. they are investing in web presence and capacity right now, and every page still routes to "call the shop" during Mon–Fri 7:30–5. Source: https://www.abeselectric.com/resources, https://www.abeselectric.com/employment, https://www.abeselectric.com/services/generators</t>
        </is>
      </c>
      <c r="AI18" s="8" t="inlineStr">
        <is>
          <t>(1) Hours gap on an urgent, high-ticket trade: "Mon–Fri 7:30am–5:00pm" with no after-hours/24-7 mention — https://www.abeselectric.com/. (2) Call-back dependency for estimates: "we read every request that comes in and call you back to confirm scope, timing and pricing" / "Fill this out and someone from the shop will call you back with next steps" — https://www.abeselectric.com/ and /contact-us. (3) Human-only framing with no overflow plan: "Call now and talk to someone in the shop." / "you'll speak with a real person, not a call center" — https://www.abeselectric.com/. (4) Booking/contact friction: no online scheduling, no chat/text widget, contact form gives no response-time promise ("we will get back to you with next steps") — verified in page source. (5) Capacity pressure: hiring Journeyman Electrician, Electrical Apprentice and Service Technician while selling panels, EV chargers, generators and rewires — https://www.abeselectric.com/employment. No reachability complaints could be read (Google/Yelp/FB reviews unreachable this run); the 5 reviews rendered on the site are all positive.</t>
        </is>
      </c>
      <c r="AJ18" s="8" t="inlineStr">
        <is>
          <t>hiring_now: 3 field openings live on the site careers page (observed 2026-10-13, undated) — https://www.abeselectric.com/employment. seasonal_peak: Florida hurricane season still open and the business is advertising for it ("Stay powered through hurricane season — and through the ordinary Tuesday outage too") — https://www.abeselectric.com/services/generators. recent_new_site (unconfirmed): © 2026, Lovable build, Resources page says "Guides Are On The Way" — Wayback unreachable this run, so not counted as a dated redesign trigger. Expansion (undated): "active Bradenton location" + West FL line.</t>
        </is>
      </c>
      <c r="AK18" s="8" t="inlineStr">
        <is>
          <t>(1) Hiring 3 production roles live on the careers page: "Journeyman Electrician ... Electrical Apprentice ... Service Technician" — https://www.abeselectric.com/employment (2026-10-13). (2) Recently updated site: "© 2026 ABE'S Electric, Inc.", consumer financing page ("Financing options for panel upgrades, rewires and generator installations"), modern React/TanStack build on Lovable with a live Google-review widget — https://www.abeselectric.com/financing, view-source https://www.abeselectric.com/. (3) Service-area expansion: "an active Bradenton location supporting commercial and industrial electrical work across West Florida" with a second phone line (941) 417-8333 — https://www.abeselectric.com/service-areas/bradenton-fl. Family-Legacy secondary: "family-owned and operated", BBB founding 2007, "Most of our work comes from repeat customers and referrals, and some of the businesses we serve have been with us for more than a decade" — https://www.abeselectric.com/. Old-School caution (not a contradiction, but shapes the hook): "you'll speak with a real person, not a call center." Review-reply tone, social voice and ad history could not be observed (GBP/Yelp/FB/IG blocked this run).</t>
        </is>
      </c>
      <c r="AL18" s="8" t="inlineStr">
        <is>
          <t>Not found — no owner bio on the site, no press or podcast located this run. Self-stated brand facts only: "family-owned and operated electrical contracting company based in Kissimmee" (https://www.abeselectric.com/about); Florida certified electrical contractor license EC13003486; BBB founding 2007-02-23; drug-free workplace policy page.</t>
        </is>
      </c>
      <c r="AM18" s="8" t="inlineStr">
        <is>
          <t>Tone: plain-spoken, practical, shop-floor confident (OBSERVED from site copy). Verbatim (homepage unless noted): "Call now and talk to someone in the shop." / "you'll speak with a real person, not a call center" / "Ask for it on any bid — we'll hand it over." / "If something isn't right, we come back and make it right." / "Straight answers from the shop." (/services/residential) / "Backup power on the Gulf side is a planning item, not a storm-week decision." (/service-areas/bradenton-fl). Bragging points: licensed-insured-guaranteed, "Drug-tested, badged electricians in marked company vans", "We pull the permits, meet the inspector, and hand you the paperwork when the job passes", "1-Year Labor &amp; Materials Warranty", "Most of our work comes from repeat customers and referrals." A customer review on the homepage: "Lisa has a great personality." No awards or sponsorships found.</t>
        </is>
      </c>
      <c r="AN18" s="8" t="inlineStr">
        <is>
          <t>Owner-operator</t>
        </is>
      </c>
      <c r="AO18" s="8" t="inlineStr">
        <is>
          <t>Not found (LinkedIn X-ray not possible this run — web-search budget exhausted; the only LinkedIn company stub at linkedin.com/company/abes-electric is located in West Covina, CA and is not this business)</t>
        </is>
      </c>
      <c r="AP18" s="8" t="inlineStr">
        <is>
          <t>Company only: https://facebook.com/abeselectric (site footer + BBB), https://instagram.com/abeselectric (site footer), https://twitter.com/AbesElectric (BBB). None were viewable logged-out this run (FB login wall, IG 429), so cadence/voice unknown. Owner personal accounts: Not found.</t>
        </is>
      </c>
      <c r="AQ18" s="8" t="inlineStr">
        <is>
          <t>https://www.abeselectric.com</t>
        </is>
      </c>
      <c r="AR18" s="8" t="inlineStr">
        <is>
          <t>contact@abeselectric.com</t>
        </is>
      </c>
      <c r="AS18" s="8" t="inlineStr">
        <is>
          <t>1004 Royal Street, Kissimmee, FL 34744 (Sunbiz principal/registered address via OpenCorporates P20000006761; Expertise.com listing). BBB profile lists an older/alternate address: 886 Duncan Ave, Kissimmee, FL 34744-1943.</t>
        </is>
      </c>
      <c r="AT18" s="8" t="inlineStr">
        <is>
          <t>34744</t>
        </is>
      </c>
      <c r="AU18" s="8" t="inlineStr">
        <is>
          <t>Kissimmee, Orlando, St. Cloud, Celebration, Lake Nona, Winter Garden, Winter Park, Maitland, Apopka, Ocoee, Windermere, Dr. Phillips, Championsgate, Lake Buena Vista, Davenport, Altamonte Springs; Osceola, Orange, Seminole, Polk and Lake counties. West FL (commercial/industrial only, from Bradenton): Bradenton, Tampa, St. Petersburg, Sarasota.</t>
        </is>
      </c>
      <c r="AV18" s="8" t="inlineStr">
        <is>
          <t>Not found (Google Maps did not render this run; the site's review widget pulls a live rating from "our Kissimmee Google Business Profile" but the Maps link is populated at runtime)</t>
        </is>
      </c>
      <c r="AW18" s="8" t="inlineStr">
        <is>
          <t>4.5 (live GBP widget on https://www.abeselectric.com/, 2026-10-13: "4.5 ... Based on 70 Google reviews from customers across Central Florida"); Expertise.com shows 4.4; Expertise also lists Facebook 4.1 (9) and Yelp 5.0 (4)</t>
        </is>
      </c>
      <c r="AX18" s="8" t="inlineStr">
        <is>
          <t>70 Google (site widget, 2026-10-13); 58 per Expertise.com listing</t>
        </is>
      </c>
      <c r="AY18" s="8" t="inlineStr">
        <is>
          <t>BBB: Business Started 2007-02-23 (~19 years). Domain abeselectric.com registered 2001-06-17 (RDAP). Florida entities: ABE'S ELECTRIC INC P20000006761 Active (2020 filing series), prior ABE'S ELECTRIC INC. P06000118587 Inactive and F06000006360 Inactive — CONFLICT flag; hypothesis: re-incorporation of the same family business. Site says "some of the businesses we serve have been with us for more than a decade."</t>
        </is>
      </c>
      <c r="AZ18" s="8" t="inlineStr">
        <is>
          <t>Not found (no published headcount on BBB, LinkedIn or site). Observed signals only: 4 people named in on-site Google reviews (Abe, Lisa, Johnny, Hernando); gallery copy cites "Stocked service vans", "Trucks and gear staged for larger installs so crews are not waiting", bucket-truck lot-lighting program; hiring 3 field roles now.</t>
        </is>
      </c>
      <c r="BA18" s="8" t="inlineStr">
        <is>
          <t>2 — Kissimmee HQ (1004 Royal Street, Kissimmee, FL 34744; "the shop and the trucks are here") plus "an active Bradenton location" at 10007 Royal Palm Dr, Bradenton, FL 34210 with its own line (941) 417-8333, covering commercial and industrial work in West Florida (https://www.abeselectric.com/service-areas/bradenton-fl)</t>
        </is>
      </c>
      <c r="BB18" s="8" t="inlineStr">
        <is>
          <t>Electrical panel upgrades/replacement and service upgrades; EV charger installation (Level 2 home + workplace); standby generator sizing/installation/replacement with automatic transfer switches (no brand named on site); whole-home rewires; electrical repairs/troubleshooting; whole-house surge protection; interior/exterior/LED lighting and parking-lot pole lighting; commercial build-outs/tenant improvements; industrial three-phase, motor controls, switchgear; government/public-sector work. Consumer financing offered for panels, rewires, generators; military and senior discounts.</t>
        </is>
      </c>
      <c r="BC18" s="8" t="inlineStr">
        <is>
          <t>modern (borderline): SSL, 2026 copyright, custom React/TanStack site built with Lovable (AI site builder) + Supabase, Google Tag Manager, live Google Places review widget with "Leave a Review" link, SMS-consent language on both forms (they text "appointment reminders, account notifications"), consumer financing page, Electrician JSON-LD with openingHours. No online booking, no chat/text widget, no FAQPage schema, no call tracking.</t>
        </is>
      </c>
      <c r="BD18" s="8" t="inlineStr">
        <is>
          <t>diy — no agency credit anywhere; site built on Lovable; GTM only (no Meta pixel, no CallRail); ads not verifiable this run (Google Ads Transparency rendered nothing, Meta Ad Library 403, LSA not checked). Resources/blog not yet published ("Guides Are On The Way").</t>
        </is>
      </c>
      <c r="BE18" s="8" t="inlineStr">
        <is>
          <t>established, trending scaling — in business since 2007 (BBB), 2 locations, hiring 3 field roles, 70 Google reviews (velocity unverifiable this run)</t>
        </is>
      </c>
      <c r="BF18" s="8" t="inlineStr">
        <is>
          <t>unknown — Google Business Profile, Yelp and Facebook reviews were not renderable this run; BBB shows 0 complaints / 0 reviews</t>
        </is>
      </c>
      <c r="BG18" s="8" t="inlineStr">
        <is>
          <t>hours_only — "Mon–Fri 7:30am–5:00pm"; no 24/7, emergency, after-hours, answering-service or AI-receptionist mention anywhere on the site or in page source; estimate requests are "read ... and call you back"; the site explicitly positions a human in the shop ("not a call center"). Evenings and weekends have no stated coverage.</t>
        </is>
      </c>
      <c r="BH18" s="8" t="inlineStr">
        <is>
          <t>None — "Request An Estimate" is a form ("Fill this out and someone from the shop will call you back with next steps"), no scheduler vendor in source (no Calendly/Housecall Pro/ServiceTitan/Jobber)</t>
        </is>
      </c>
      <c r="BI18" s="8" t="inlineStr">
        <is>
          <t>None — no chat or text-us widget in page source (no Podium/Birdeye/Tidio/Intercom/Tawk). Forms carry an opt-in: "I agree to receive text messages from ABE'S Electric ... (appointment reminders, account notifications, etc.)", so they do send SMS from the office.</t>
        </is>
      </c>
      <c r="BJ18" s="8" t="inlineStr">
        <is>
          <t>Google Tag Manager (GTM-NJVFR6G5); Lovable (AI website builder; build artifacts in bundle) + Supabase + TanStack Start/React; Google Places live-review widget; Google Workspace mail (MX aspmx.l.google.com); third-party consumer-financing provider (unnamed on /financing). Not detected: CallRail/CTM, Podium, Birdeye, NiceJob, ServiceTitan, Housecall Pro, Jobber, Calendly, HubSpot, GoHighLevel/LeadConnector, Meta pixel, Hotjar, any agency credit, FAQPage schema.</t>
        </is>
      </c>
      <c r="BK18" s="8" t="inlineStr">
        <is>
          <t>Unknown — not verifiable this run: Google Ads Transparency Center rendered no results (JS app), Meta Ad Library returned 403, Google LSA and Sponsored-result checks not possible (web-search budget exhausted). No gclid/UTM landing pages or call-tracking numbers in source (negative signal for paid search).</t>
        </is>
      </c>
      <c r="BL18" s="8" t="inlineStr">
        <is>
          <t>not checked — no AI platform (ChatGPT/Perplexity/Gemini) reachable this run; D4 logged NO EVIDENCE. Schema check done: Electrician/LocalBusiness JSON-LD present, no FAQPage schema despite on-page FAQs (GEO wedge).</t>
        </is>
      </c>
      <c r="BM18" s="8" t="inlineStr">
        <is>
          <t>PASS. Chain/franchise: no — independent family-owned FL corporation, 2 locations. Website: live own-domain site (domain since 2001, © 2026). Live US business: Sunbiz entity P20000006761 Active, careers page live, 0 BBB complaints. Inbound channel: main phone + estimate form. Competitor/non-buyer: no — electrical contractor with a residential service line (not purely commercial/new-construction sub). Already automated: no AI receptionist, no answering service, no GEO vendor. Already in E4L's world: not on suppression.csv or seen.csv (only 'abe' hit is Abe Dental, Portland); no 'no solicitation' notice found; GHL dedupe not run in this session.</t>
        </is>
      </c>
      <c r="BN18" s="8" t="inlineStr">
        <is>
          <t>D1 Decision-maker reachable: 8/20 — Abraham Valentin, Owner + Lelia Valentin, President cited on BBB (https://www.bbb.org/us/fl/kissimmee/profile/electrician/abes-electric-inc-0733-134636460); Lelia M Valentin also Sunbiz registered agent at 1004 Royal St (https://opencorporates.com/companies/us_fl/P20000006761); only a generic mailbox contact@abeselectric.com (site footer/JSON-LD/contact page, MX present); no owner LinkedIn or direct line found → call-first / DEMO PATH. | D2 Phone-coverage gap: 15/15 — phone-first (header/hero "Call (407) 343-0220", 28 tel: links, "Need an Electrician Today? Call now and talk to someone in the shop") AND gap proof: hours "Mon–Fri 7:30am–5:00pm" (JSON-LD openingHours Mon–Fri 07:30–17:00) on an inherently urgent niche; "we read every request ... and call you back"; no 24/7, answering service or AI receptionist anywhere in site or source (https://www.abeselectric.com/). | D3 Lead-response leak: 5/15 — exactly 1 signal type: booking/contact friction (no scheduler, no chat/text, form with no response-time promise, verified in source at https://www.abeselectric.com/contact-us). Logged nulls: Google/Yelp/Facebook reviews not renderable (403/login), Indeed 403; no front-office job post (openings are Journeyman/Apprentice/Service Tech); BBB 0 complaints. | D4 AI search visibility: 0/10 NO EVIDENCE — no AI platform could be checked this run; schema: Electrician JSON-LD present, no FAQPage (https://www.abeselectric.com/ view-source). Line: "Named in — of 0 AI answers (not checked)". | D5 ICP fit / ability to pay: 15/15 — (a) family-owned, 2 locations, named owners; (b) core electrical niche; (c) 4 proxies: since 2007 (BBB), fleet/crew ("Stocked service vans", bucket truck, 4 named staff in reviews — https://www.abeselectric.com/gallery), $1k+ tickets with consumer financing (panels/generators/rewires — https://www.abeselectric.com/financing), 5+ counties plus West FL. | D6 Timing + spend: 7/15 — live but undated triggers (3 field hires on /employment; in-season generator push on /services/generators) and only GTM as tooling; spend checklist: Google Ads not checkable, LSA not checkable, Meta Ad Library 403, no agency/call-tracking/pixel in source, no paid directories found → scored as trigger-without-date; would rise to 11 if a posting date ≤60 days surfaces. | D7 Owner attitude / stack: 10/10 — net 3 positives: modern site (© 2026, SSL), tech adoption (financing, SMS opt-in, Lovable/AI-built site), growth posture (hiring, active Bradenton location); no negatives observed; no incumbent agency (greenfield). | TOTAL 60 → QUALIFIED band, TRUSTED (6/7 dimensions with evidence; D4 missing). Not eligible for SEND TODAY until the D4 spot-check is run.</t>
        </is>
      </c>
      <c r="BO18" s="8" t="inlineStr">
        <is>
          <t>https://www.abeselectric.com/, https://www.bbb.org/us/fl/kissimmee/profile/electrician/abes-electric-inc-0733-134636460, https://opencorporates.com/companies/us_fl/P20000006761, https://www.abeselectric.com/employment, https://www.abeselectric.com/contact-us, https://www.abeselectric.com/about, https://www.abeselectric.com/services/generators, https://www.abeselectric.com/financing, https://www.abeselectric.com/service-areas/bradenton-fl, https://www.abeselectric.com/resources, https://www.abeselectric.com/gallery, https://www.abeselectric.com/services/residential, https://www.abeselectric.com/services/electrical-panel-upgrades, https://www.abeselectric.com/services/ev-charger-installation, https://www.abeselectric.com/service-areas/kissimmee-fl, https://www.expertise.com/fl/orlando/electricians, https://opencorporates.com/companies/us_fl/P06000118587, https://www.bbb.org/us/fl/kissimmee/profile/electrician/abes-electric-inc-0733-134636460/details, https://rdap.verisign.com/com/v1/domain/abeselectric.com, https://www.abeselectric.com/sitemap.xml</t>
        </is>
      </c>
      <c r="BP18" s="8" t="inlineStr">
        <is>
          <t>Medium</t>
        </is>
      </c>
      <c r="BQ18" s="8" t="inlineStr">
        <is>
          <t>Title detail: Owner (BBB "Business Management": Abraham Valentin, Owner). Second decision-maker: Lelia Valentin, President (BBB) — corroborated as "LELIA M VALENTIN", registered agent of ABE'S ELECTRIC INC at 1004 Royal Street (Florida Sunbiz record via OpenCorporates). On-site Google reviews mention "Lisa and Abe" — recorded as-is, NOT reconciled with Lelia.. Route: call-first (D1 = 8, generic mailbox only) per rubric; Sam calls Tue–Thu 8:00–8:30 AM ET and asks for Abe (or Lisa for the office side); an email to contact@abeselectric.com addressed to Abe and Lelia is the secondary touch. Do not call before 8:00 AM ET (Florida 8–8 rule). Pre-build the demo line from abeselectric.com (phone-first, D2 = 15). Run the D4 AI spot-check before any "Named in X of Y" claim — it was not run this run. GHL "E4L Services" dedupe was NOT run in this session (only suppression.csv/seen.csv were checked) — run it before loading. Reviews, GBP hours/replies, Facebook, Instagram, Yelp, Indeed, Wayback and ad libraries were all unreachable this run, so review-reply tone and ad spend are unknown; Sam should log who/what answers the line. Site reviews say "Lisa and Abe"; BBB says Lelia Valentin, President — never assume they are the same person. The site was built on Lovable (an AI site builder), so the team is comfortable with new tools, but the homepage's "real person, not a call center" line means keep "AI" out of the subject line and lead with after-hours coverage. Founding-year CONFLICT (domain 2001, BBB 2007, current FL entity 2020 with older inactive entities) — use "since 2007" only softly or not at all. Older BBB address (886 Duncan Ave) and 877 number may be legacy; use 1004 Royal St and (407) 343-0220.</t>
        </is>
      </c>
      <c r="BR18" s="10" t="inlineStr"/>
      <c r="BS18" s="10" t="inlineStr"/>
      <c r="BT18" s="10" t="inlineStr"/>
    </row>
    <row r="19" ht="120" customHeight="1">
      <c r="A19" s="8" t="inlineStr">
        <is>
          <t>20261012-18</t>
        </is>
      </c>
      <c r="B19" s="8" t="inlineStr">
        <is>
          <t>2026-10-12</t>
        </is>
      </c>
      <c r="C19" s="8" t="n">
        <v>1</v>
      </c>
      <c r="D19" s="10" t="inlineStr"/>
      <c r="E19" s="10" t="inlineStr">
        <is>
          <t>New</t>
        </is>
      </c>
      <c r="F19" s="8" t="n">
        <v>59</v>
      </c>
      <c r="G19" s="8">
        <f>IF(F19="","",IF(F19&gt;=80,"A — send today",IF(F19&gt;=60,"B — worth a touch",IF(F19&gt;=40,"C — hold","D — reject"))))</f>
        <v/>
      </c>
      <c r="H19" s="8" t="inlineStr">
        <is>
          <t>FloBeds</t>
        </is>
      </c>
      <c r="I19" s="8" t="inlineStr">
        <is>
          <t>Dave</t>
        </is>
      </c>
      <c r="J19" s="8" t="inlineStr">
        <is>
          <t>Turner</t>
        </is>
      </c>
      <c r="K19" s="8" t="inlineStr">
        <is>
          <t>Owner / Board Chair</t>
        </is>
      </c>
      <c r="L19" s="8" t="inlineStr">
        <is>
          <t>Not found</t>
        </is>
      </c>
      <c r="M19" s="8" t="inlineStr">
        <is>
          <t>None found</t>
        </is>
      </c>
      <c r="N19" s="8" t="inlineStr">
        <is>
          <t>Not found</t>
        </is>
      </c>
      <c r="O19" s="8" t="inlineStr">
        <is>
          <t>Not found</t>
        </is>
      </c>
      <c r="P19" s="8" t="inlineStr">
        <is>
          <t>+1 800-356-2337 (sales, "Live Person 8am–5pm PT"); +1 707-964-5700 (local line, site footer); BBB profile lists a third number, +1 707-964-3356</t>
        </is>
      </c>
      <c r="Q19" s="8" t="inlineStr">
        <is>
          <t>Ecommerce / DTC — made-to-order natural Talalay latex mattresses (high-AOV, consultative, showroom-backed)</t>
        </is>
      </c>
      <c r="R19" s="8" t="inlineStr">
        <is>
          <t>extend</t>
        </is>
      </c>
      <c r="S19" s="8" t="inlineStr">
        <is>
          <t>Fort Bragg</t>
        </is>
      </c>
      <c r="T19" s="8" t="inlineStr">
        <is>
          <t>CA</t>
        </is>
      </c>
      <c r="U19" s="8" t="inlineStr">
        <is>
          <t>Q4 is the mattress category's biggest selling window, FloBeds is in its 55th-anniversary year with a freshly updated site (Oct 9, 2026) and reviews still flowing weekly — the free AI-search audit lands before holiday traffic peaks.</t>
        </is>
      </c>
      <c r="V19" s="8" t="inlineStr">
        <is>
          <t>Family-Legacy Pride Brand (secondary: Tech-Forward Early Adopter)</t>
        </is>
      </c>
      <c r="W19" s="8" t="inlineStr">
        <is>
          <t>Free GEO audit on ecommerce money questions — "best latex mattress for side sleepers", "best customizable latex mattress", "best natural Talalay latex mattress", "where to buy a latex mattress with adjustable firmness" — across ChatGPT/Perplexity/Gemini with screenshots, plus speed-to-lead: missed-call text-back on 1-800-FloBeds after 5pm PT and an instant reply to the contact-form/email inquiries. Position voice AI only as after-hours overflow that hands off to their "Live Person" at 8am — never as a replacement. FAQ/Product schema on the existing FAQ page is the natural first deliverable.</t>
        </is>
      </c>
      <c r="X19" s="8" t="inlineStr">
        <is>
          <t>Accelerate per Chosen's matrix; realistic first close is à la carte GEO + speed-to-lead (web/phone inbound, not appointment-driven), with Recover-level after-hours voice coverage as the upsell once they hear the demo.</t>
        </is>
      </c>
      <c r="Y19" s="8" t="inlineStr">
        <is>
          <t>FloBeds' live-person line after 5pm Pacific</t>
        </is>
      </c>
      <c r="Z19" s="8" t="inlineStr">
        <is>
          <t>Fifty-five years making mattresses to order and still a live person on 1-800-FloBeds from 8 to 5 Pacific — I got curious who the East Coast shopper reaches at 9pm when she's finally ready to pick a firmness for each side.</t>
        </is>
      </c>
      <c r="AA19" s="8" t="inlineStr">
        <is>
          <t>"Dewey, Sam with Eat 4 Life Marketing. Two quick things: when someone asks ChatGPT or Perplexity for the best customizable latex mattress, we check which brands get named — we'll run that for FloBeds free and send you the screenshots. And your site says live person 8 to 5 Pacific; we set up a system that texts back every missed call and web inquiry inside a minute, so the evening and Sunday shoppers who are halfway through choosing a firmness don't drift to the next brand before you open." Close on the 20-minute Game Plan Call or the email for the audit.</t>
        </is>
      </c>
      <c r="AB19" s="8" t="inlineStr">
        <is>
          <t>"We've got 1,248 reviews and Forbes called us the best — people find us, and a family business doesn't want a robot talking to customers." Answer: nothing touches your live person 8-to-5; this only catches the inquiries that already land after hours, and the AI-search check is free with screenshots you can verify yourself before anything is bought.</t>
        </is>
      </c>
      <c r="AC19" s="8" t="inlineStr">
        <is>
          <t>"Dewey? Sam with Eat 4 Life Marketing — this is a cold call, so feel free to hang up on me. I was on flobeds.com and saw 'Live Person 8 to 5 Pacific' right in the header. You ship nationwide, so the East Coast shopper picking her firmness for each side at 9 PM gets voicemail. We text back every missed call and web inquiry in under a minute, so she doesn't drift to the next brand before you open. Can I take 20 seconds to explain how it works, and you tell me if it's worth a longer conversation?" (If Dave Turner answers, same opener with his name — he is Owner/Board Chair and a former Fort Bragg mayor.)</t>
        </is>
      </c>
      <c r="AD19" s="8" t="inlineStr">
        <is>
          <t>Tue–Thu 8:15–9:30 AM PT, right after the live line opens and before showroom walk-ins and the day's order calls; on-site reviews (Linda N., Sep 10, 2026; Pedro M., Sep 27, 2026) say Dewey personally takes phone orders on 1-800-356-2337, so the main line reaches the decision-maker directly. Backup window 1:30–3:00 PM PT. Avoid Saturday (showroom-only day, likely Liz on sales) and the 4–5 PM PT shipping-cutoff rush.</t>
        </is>
      </c>
      <c r="AE19" s="8" t="inlineStr">
        <is>
          <t>Showroom/office Mon–Fri 8:00 AM–5:00 PM, Sat 10:00 AM–5:00 PM, closed Sun (site footer, flobeds.com). Sales line 1-800-356-2337 staffed 'Live Person 8am–5pm PT' (site header). Google Business Profile hours not retrievable this session; BBB lists no hours.</t>
        </is>
      </c>
      <c r="AF19" s="8" t="inlineStr">
        <is>
          <t>PT</t>
        </is>
      </c>
      <c r="AG19" s="8" t="inlineStr">
        <is>
          <t>1-800-356-2337 is answered by a live person 8–5 PT and, per Sep 2026 reviews, often by Dewey Turner himself (President, day-to-day decision-maker; one reviewer calls him 'the owner') — so the 'gatekeeper' may be the target. The likely non-family voice is Liz Hicks (Sales &amp; Shipping since 2023; About page says she handles communications from the 3 warehouses) — ask for Dewey by name, or Dave if Dewey is in production. Anne Turner (Owner/VP, books since 1979) sees any invoice. No answering service, no owner cell, no chat/text widget published. Local line 707-964-5700 is on the site; BBB-listed (707) 964-3356 is not on the site — use the 800 number first. Email fallback: info@flobeds.com with 'For Dewey' in line one.</t>
        </is>
      </c>
      <c r="AH19" s="8" t="inlineStr">
        <is>
          <t>Their own homepage badge "in business 55 years, on the web since 1995" (1971→2026 is the 55th year; https://www.flobeds.com/) paired with the header promise "Live Person 8am–5pm PT" — a safe, warm, current anniversary compliment that leads straight into the after-hours question. Backup: two Forbes features in 2024 (https://www.flobeds.com/forbes-strikes-twice/).</t>
        </is>
      </c>
      <c r="AI19" s="8" t="inlineStr">
        <is>
          <t>(1) Explicit phone-hours gap on a nationwide, high-ticket, consultative product: "Live Person 8am–5pm PT" in header; store hours "Mon-Fri 8-5, Sat 10-5"; no after-hours coverage stated (https://www.flobeds.com/). (2) No chat/text widget and no response-time promise on the contact form (page source, https://www.flobeds.com/contact-us/). (3) Zero public replies to 1,248 on-site reviews; reviewers route to the President personally: "I sent an email to Dewey requesting a couple of the sections be swapped for plush which he replied to with a new order" (Christy J., Nov 10, 2025). (4) Historic email-response complaints, stale: "I've submitted several emails to which no reply has been received." (Len A., Dec 25, 2021); "did not get a response back until I emailed the actual owner" (Chris, Jun 29, 2018) (https://www.flobeds.com/about-us/reviews/). (5) No FAQPage/Product schema despite a substantive FAQ page — AI engines have nothing structured to cite. (6) Trustpilot profile unclaimed, 0 reviews (https://www.trustpilot.com/review/flobeds.com). (7) Founding-year inconsistency across site (1971) vs BBB/LinkedIn (1989) muddies the brand story AI answers would pull.</t>
        </is>
      </c>
      <c r="AJ19" s="8" t="inlineStr">
        <is>
          <t>No hard trigger found. Soft/dated signals: homepage dateModified 2026-10-09 and blog posts updated Sept 29 and Oct 9, 2026 (sitemap lastmod); Goldilocks Guarantee terms revised for beds purchased after Feb 9, 2026 (https://www.flobeds.com/goldilocks-guarantee/); steady review inflow (5 on-site reviews Sept 10–Oct 9, 2026); 55th-anniversary year (1971→2026); Q4 mattress peak season. Negatives logged: Indeed 403 and no careers page in sitemap (no hiring signal), Meta Ad Library 403, no news search possible.</t>
        </is>
      </c>
      <c r="AK19" s="8" t="inlineStr">
        <is>
          <t>Website header: "Family Business Making Personalized Mattresses Since 1971 Made in USA" (https://www.flobeds.com/, 2026-10-12) | About page: "Family owned and operated since 1971"; three family owners named with titles; long-tenured staff bios (Rosa Nieto, sewing since 2013); community values quote "He believes that businesses should enrich the communities they're in"; next-generation President Dewey Turner ~15 years in (https://www.flobeds.com/about-us/) | Hometown pride: "We think it's the perfect world record for FloBeds and our hometown." — Dave Turner, Paul Bunyan Days dog-bed record (https://www.flobeds.com/flobeds-builds-worlds-largest-dog-bed/) | Reputation footprint: BBB A+ accredited since 1998-05-01, 0 complaints in 3 years (https://www.bbb.org/us/ca/fort-bragg/profile/mattress/flobeds-1116-15241); Certified B Corp 2016 (About page) | Press pride: "A second Forbes feature in one year means a lot to our small, family-owned team." (https://www.flobeds.com/forbes-strikes-twice/) | Tech-forward secondary: WooCommerce + Yotpo + HubSpot forms + Affirm + GTM/Meta/Pinterest pixels in source; "on the web since 1995"; patents. Confidence: high (5+ signals across site, blog, BBB). No contradicting signals; no hostile or anti-vendor statements found.</t>
        </is>
      </c>
      <c r="AL19" s="8" t="inlineStr">
        <is>
          <t>CONFIRMED (own site): Dave Turner "entered the specialty sleep business" in 1971 as a Stanford student in Palo Alto "to pay his tuition"; "Making beds since 1971"; holder of the Patented Fluid Mattress (US Patents 5,513,400 and 5,850,646); moved the company to Fort Bragg and online in 1995/96; bought the Redwood Ave building in 1998; "He believes that businesses should enrich the communities they're in" (https://www.flobeds.com/about-us/). Anne Turner, Owner/VP: bookkeeper, illustrator of the trademark sheep logo. Dewey Turner, President: ~15 years in the family business; a Nov 10, 2025 reviewer wrote "I sent an email to Dewey requesting a couple of the sections be swapped for plush which he replied to with a new order" — he handles customer service personally (https://www.flobeds.com/about-us/reviews/). OBSERVED: pressroom photo caption reads "Mayor-Dave at Trestle" (https://www.flobeds.com/pressroom/) — suggests Dave served as Fort Bragg mayor; not independently confirmed this session. Company is a Certified B Corporation (Sept 22, 2016), BBB A+ accredited since 1998, Furniture Today honored FloBeds as a latex mattress pioneer (2018), Newsweek feature (2002), two Forbes features in 2024. Military service: not stated anywhere — not recorded.</t>
        </is>
      </c>
      <c r="AM19" s="8" t="inlineStr">
        <is>
          <t>Tone: warm, proud-of-craft, company "we" voice; no public review replies (zero across 1,248 on-site reviews). Voice lines: "We think it's the perfect world record for FloBeds and our hometown." — Dave Turner on building the world's largest dog bed for Fort Bragg's Paul Bunyan Days, 2010 (https://www.flobeds.com/flobeds-builds-worlds-largest-dog-bed/); "A second Forbes feature in one year means a lot to our small, family-owned team." (https://www.flobeds.com/forbes-strikes-twice/); "He believes that businesses should enrich the communities they're in." (https://www.flobeds.com/about-us/). Brags: 55 years in business / online since 1995, patents, 20-year Goldilocks Guarantee, Certified B Corp, BBB A+ with zero-complaint years since 1999, OEKO-TEX, Forbes/Newsweek/Furniture Today recognition, designer Barbara Barry's favorite mattress (House Beautiful). Community: B Corp, hometown festival stunt, long-tenured staff bios. Mirror: slightly formal, legacy-respecting, specific; no slang, no hype.</t>
        </is>
      </c>
      <c r="AN19" s="8" t="inlineStr">
        <is>
          <t>Owner-operator</t>
        </is>
      </c>
      <c r="AO19" s="8" t="inlineStr">
        <is>
          <t>Not found (company page https://www.linkedin.com/company/flobeds — 28 followers, 11–50 employees, lists "Dave Turner" as an employee with no title; personal profile URL not retrievable logged-out this session)</t>
        </is>
      </c>
      <c r="AP19" s="8" t="inlineStr">
        <is>
          <t>Company accounts linked from site footer/JSON-LD: https://www.facebook.com/flobeds, https://www.instagram.com/flobeds/, https://x.com/flobeds, https://www.pinterest.com/Flobeds/, https://www.youtube.com/FloBeds/ (channel title "FloBeds Talalay Latex Mattresses"). Activity levels not retrievable this session (Facebook/Instagram/YouTube blocked or JS-only). No personal owner socials found.</t>
        </is>
      </c>
      <c r="AQ19" s="8" t="inlineStr">
        <is>
          <t>https://www.flobeds.com</t>
        </is>
      </c>
      <c r="AR19" s="8" t="inlineStr">
        <is>
          <t>info@flobeds.com; service@flobeds.com (both on https://www.flobeds.com/contact-us/; info@ also in Organization JSON-LD). MX record not checked (dig/host unavailable this session).</t>
        </is>
      </c>
      <c r="AS19" s="8" t="inlineStr">
        <is>
          <t>234 E Redwood Ave, Fort Bragg, CA 95437 (showroom/HQ; site also lists a wood shop on N. Franklin and latex fabrication on N. Main St., Fort Bragg)</t>
        </is>
      </c>
      <c r="AT19" s="8" t="inlineStr">
        <is>
          <t>95437</t>
        </is>
      </c>
      <c r="AU19" s="8" t="inlineStr">
        <is>
          <t>Ships nationwide via UPS (UPS-shippable foundation since 1998); Coast Observer headline on pressroom: "Built in Fort Bragg… Shipped Worldwide" (https://www.flobeds.com/pressroom/). Walk-in showroom in Fort Bragg, CA, Mon–Fri 8–5, Sat 10–5.</t>
        </is>
      </c>
      <c r="AV19" s="8" t="inlineStr">
        <is>
          <t>Not found (Google Maps/GBP not retrievable this session)</t>
        </is>
      </c>
      <c r="AW19" s="8" t="inlineStr">
        <is>
          <t>Not found (GBP not retrievable). On-site Yotpo reviews: 4.8 average (https://www.flobeds.com/about-us/reviews/). BBB A+ (https://www.bbb.org/us/ca/fort-bragg/profile/mattress/flobeds-1116-15241). Trustpilot: 0 reviews, unclaimed (https://www.trustpilot.com/review/flobeds.com).</t>
        </is>
      </c>
      <c r="AX19" s="8" t="inlineStr">
        <is>
          <t>Google: Not found. On-site (Yotpo): 1,248 reviews (1,113 five-star / 67 four / 34 three / 16 two / 18 one); newest dated Oct 9, Oct 2, Sep 27, Sep 25, Sep 10, 2026 (https://www.flobeds.com/about-us/reviews/). BBB: 0 customer reviews, 0 complaints in last 3 years. Trustpilot: 0.</t>
        </is>
      </c>
      <c r="AY19" s="8" t="inlineStr">
        <is>
          <t>CONFLICT: site says "Family owned and operated since 1971" / "in business 55 years, on the web since 1995" (https://www.flobeds.com/about-us/, homepage image alt); BBB foundingDate 1989-07-01 and LinkedIn "Founded 1989" (https://www.bbb.org/us/ca/fort-bragg/profile/mattress/flobeds-1116-15241, https://www.linkedin.com/company/flobeds). Hypothesis (unconfirmed): 1971 = Dave Turner's original specialty-sleep business in Palo Alto; 1989 = FloBeds entity/brand. BBB Accredited since 1998-05-01. Other dated milestones on About page: moved to Fort Bragg and online 1995/96; latex mattress launched 1997; bought Redwood Ave building 1998; vZone 2009; Goldilocks Guarantee 2010, extended to 20 years 2015; Certified B Corp 2016-09-22.</t>
        </is>
      </c>
      <c r="AZ19" s="8" t="inlineStr">
        <is>
          <t>~10–15. BBB "Number of Employees: 10"; LinkedIn and site JSON-LD both "11–50"; About page names 7 people (Dave, Anne, Dewey Turner + Rosa Nieto, Gary Fox, Tony Arguelles, Liz Hicks) plus "Garrett and Paul" (https://www.flobeds.com/about-us/).</t>
        </is>
      </c>
      <c r="BA19" s="8" t="inlineStr">
        <is>
          <t>1 showroom (234 E Redwood Ave) plus production spaces and "3 warehouses," all in Fort Bragg, CA (https://www.flobeds.com/about-us/). No franchise or multi-location language anywhere on site.</t>
        </is>
      </c>
      <c r="BB19" s="8" t="inlineStr">
        <is>
          <t>Made-to-order natural Talalay latex mattresses with firmness set per side (vZone), $1,499–$6,399 (Student $1,499–$2,749; Natural Latex $2,099–$4,999; Big &amp; Tall $3,299–$6,399 per https://www.flobeds.com/shop/); latex toppers, pillows, foundations and adjustable bases, pet beds, linens; 20-year Goldilocks Guarantee (firmness-layer swaps, 100-day refund) per https://www.flobeds.com/goldilocks-guarantee/; Affirm 0% financing (https://www.flobeds.com/financing/). NOTE: scout's "Bread" financing claim was a false match on "breadcrumb" in page source — only Affirm is present.</t>
        </is>
      </c>
      <c r="BC19" s="8" t="inlineStr">
        <is>
          <t>modern — WooCommerce storefront, Yotpo review-request widget, Affirm prequal, HubSpot forms (js-na2.hs-scripts), WPForms/CF7 with Cloudflare Turnstile, GTM + gtag + Meta pixel + Pinterest tag, WP Rocket, Site Kit; NO chat/text widget, NO online appointment booking, NO FAQPage/Product schema on homepage (FAQ page exists unstructured).</t>
        </is>
      </c>
      <c r="BD19" s="8" t="inlineStr">
        <is>
          <t>diy / possible light in-house — no agency credit in footer or source; HubSpot + Yotpo + pixels installed; blog actively maintained (posts lastmod Sept 29 and Oct 9, 2026) bylined "Jacob Taylor" (role not stated); Trustpilot profile unclaimed with 0 reviews; zero public review replies.</t>
        </is>
      </c>
      <c r="BE19" s="8" t="inlineStr">
        <is>
          <t>established — 55 years, ~10 employees, 1,248 on-site reviews with steady inflow (5 since Sept 10, 2026), single showroom, nationwide shipping, press momentum (Forbes 2024); no hiring or expansion signals found.</t>
        </is>
      </c>
      <c r="BF19" s="8" t="inlineStr">
        <is>
          <t>none — on-site Yotpo widget shows no public replies to any of 1,248 reviews (https://www.flobeds.com/about-us/reviews/); reviewers instead describe private email exchanges with "Dewey" or "the actual owner." Google/Yelp replies not retrievable this session (403).</t>
        </is>
      </c>
      <c r="BG19" s="8" t="inlineStr">
        <is>
          <t>Unknown after 5pm PT — header states "Live Person 8am–5pm PT 1-800-356-2337"; footer "Hours: Mon-Fri 8-5, Sat 10-5"; no mention of voicemail, answering service, 24/7, or AI receptionist on homepage, contact, FAQ, or guarantee pages or in page source. Contact form (WPForms/HubSpot) carries no response-time promise. (https://www.flobeds.com/, https://www.flobeds.com/contact-us/)</t>
        </is>
      </c>
      <c r="BH19" s="8" t="inlineStr">
        <is>
          <t>N — ecommerce cart only (WooCommerce); no appointment/showroom booking tool (no calendly/acuity/etc. in source).</t>
        </is>
      </c>
      <c r="BI19" s="8" t="inlineStr">
        <is>
          <t>None — page-source scan found no tidio, gorgias, intercom, tawk, podium, livechat, LivePerson, or HubSpot chat script; the header's "Live Person" label sits next to a phone icon and the 800 number, i.e. a human on the phone, not a chat widget. No "text us" number.</t>
        </is>
      </c>
      <c r="BJ19" s="8" t="inlineStr">
        <is>
          <t>WordPress 7.1.3 + WooCommerce 11.1.0 (meta generator), WPBakery Page Builder, Elementor, WP Rocket 3.23, Site Kit by Google, Yoast SEO, ExactDN CDN, Cloudflare Turnstile; Yotpo Social Reviews for WooCommerce; HubSpot forms (js-na2.hs-scripts.com); WPForms + Contact Form 7; Affirm (affirm.js + prequal link); Google Tag Manager + gtag; Meta pixel 835127223357641; Pinterest tag. No call-tracking (no CallRail/CTM), no agency credit in footer ("@Flobeds 2026 All Rights Reserved"). Scout's "Bread" financing was a false positive on "breadcrumb."</t>
        </is>
      </c>
      <c r="BK19" s="8" t="inlineStr">
        <is>
          <t>Not observed. Meta Ad Library returned 403 (not checked); Google Ads Transparency Center showed no visible results (JS-rendered, inconclusive); no LSA (n/a for ecommerce). Meta pixel and Pinterest tag installed indicate paid-social capability.</t>
        </is>
      </c>
      <c r="BL19" s="8" t="inlineStr">
        <is>
          <t>Not checked — web-search budget was exhausted this session, so no ChatGPT/Perplexity/Gemini money-question run was possible. D4 scored 0 (NO EVIDENCE). Schema fact for the audit: homepage JSON-LD lacks FAQPage/Product; FAQ page exists without schema. Run the 3-question x 2-platform check before any outreach.</t>
        </is>
      </c>
      <c r="BM19" s="8" t="inlineStr">
        <is>
          <t>PASS. Independent family-owned business, single showroom, no franchise/chain/PE language (About page; footer); website live (WordPress 7.1.3 / WooCommerce 11.1.0, homepage dateModified 2026-10-09, fetched 2026-10-12); operating (on-site review dated Oct 9, 2026; BBB A+ accredited since 1998); inbound channels exist (two phones, two emails, WPForms/HubSpot forms); not a competitor/non-buyer category; suppression.csv grep for flobeds/flo beds/turner on 2026-10-12 returned no FloBeds match. NOT VERIFIED: CA SOS entity status (bizfileonline API blocked, HTTP 429; OpenCorporates search "flobeds" in CA returned 0 companies — likely a different legal name); GHL ghl-contacts.js dedupe not run this session — Rozel to run before load.</t>
        </is>
      </c>
      <c r="BN19" s="8" t="inlineStr">
        <is>
          <t>D1 Decision-maker reachable: 8/20 — Full name + role cited from two sources (About page: "Dave Turner Owner/Board Chair", "Dewey Turner President"; BBB: "Mr. David R. Turner, President") but only generic mailboxes (info@, service@) published; owner LinkedIn URL not captured (company page only). Route: call-first / email to info@ addressed by name. | D2 Phone gap: 9/15 — Phone in site header with explicit narrower-than-demand hours ("Live Person 8am–5pm PT 1-800-356-2337", https://www.flobeds.com/); no 24/7, answering-service, or AI-receptionist mention anywhere (site, contact, FAQ, guarantee pages, page source); scored 9 not 15 because the primary CTA is online checkout (ecommerce), not "call". | D3 Lead-response leak: 10/15 — 2 signal types: (5) contact friction verified in page source (no chat/text widget — no tidio/gorgias/intercom/tawk/podium/livechat; WPForms/HubSpot forms with no response-time promise; no scheduling tool) and (3) zero public owner replies across 1,248 on-site reviews (https://www.flobeds.com/about-us/reviews/). Stale type-(1) evidence: "I've submitted several emails to which no reply has been received." (Len A., Dec 25, 2021) and "did not get a response back until I emailed the actual owner" (Chris, Jun 29, 2018) — both &gt;18 months, not counted. Google/Yelp/Indeed not retrievable (403). | D4 AI-search gap: 0/10 — NO EVIDENCE: no AI platform could be checked this session (search budget exhausted). Schema check done: homepage JSON-LD = WebPage/WebSite/Organization/BreadcrumbList only, no FAQPage or Product; a real FAQ page exists (https://www.flobeds.com/faq/) without FAQ schema. Must run before outreach. | D5 ICP fit / ability to pay: 15/15 — (a) family-owned, 1 location, named owners; (b) niche-playbook ecommerce sub-segment explicitly includes mattresses with a pre-sale phone and $500+ AOV; (c) 5 proxies: since 1971 + BBB accredited 1998; 1,248 reviews with 5 dated in last 90 days (on-site); 7 named staff / BBB 10 employees; AOV $1,499–$6,399 + Affirm financing; nationwide shipping. | D6 Timing + spend: 7/15 — Spend groups (d) GTM + Meta pixel (id 835127223357641) + Pinterest tag + HubSpot scripts and (e) Yotpo + Affirm found in source; no (a)/(b)/(c) confirmed (Meta Ad Library 403; Google Ads Transparency showed no visible results; LSA n/a). No dated trigger of a listed type: no hiring found (Indeed 403, no careers page in sitemap), no new location; soft signals only: homepage dateModified 2026-10-09, guarantee revised for beds bought after Feb 9, 2026, Q4 mattress season. | D7 Attitude / stack: 10/10 — Positives: modern site (© 2026, WP 7.1.3, updated Oct 9, 2026); adopts tech (Yotpo review requests, Affirm, HubSpot forms, pixels); growth/press posture (two Forbes features in 2024 per https://www.flobeds.com/forbes-strikes-twice/, Certified B Corp, BBB A+). No negatives observed; no agency credit or incumbent conflict (HubSpot forms present but no named marketer — blog byline "Jacob Taylor", role not stated, flag to verify). TOTAL 59 → QUALIFIED band. Status: evidence on 6 of 7 dimensions; D4 NO EVIDENCE blocks SEND TODAY until the AI spot-check is run; GHL dedupe pending.</t>
        </is>
      </c>
      <c r="BO19" s="8" t="inlineStr">
        <is>
          <t>https://www.flobeds.com/, https://www.flobeds.com/about-us/, https://www.flobeds.com/contact-us/, https://www.bbb.org/us/ca/fort-bragg/profile/mattress/flobeds-1116-15241, https://www.flobeds.com/about-us/reviews/, https://www.linkedin.com/company/flobeds, https://www.flobeds.com/shop/, https://www.flobeds.com/goldilocks-guarantee/, https://www.flobeds.com/financing/, https://www.flobeds.com/faq/, https://www.flobeds.com/forbes-strikes-twice/, https://www.flobeds.com/flobeds-builds-worlds-largest-dog-bed/, https://www.flobeds.com/pressroom/, https://www.trustpilot.com/review/flobeds.com, https://www.flobeds.com/post-sitemap.xml, https://www.flobeds.com/robots.txt, https://opencorporates.com/companies?q=flobeds&amp;jurisdiction_code=us_ca</t>
        </is>
      </c>
      <c r="BP19" s="8" t="inlineStr">
        <is>
          <t>Medium</t>
        </is>
      </c>
      <c r="BQ19" s="8" t="inlineStr">
        <is>
          <t>Title detail: Owner / Board Chair (site: "Dave Turner Owner/Board Chair", https://www.flobeds.com/about-us/); BBB lists "Mr. David R. Turner, President" (https://www.bbb.org/us/ca/fort-bragg/profile/mattress/flobeds-1116-15241). Day-to-day President is Dewey Turner (site), ~15 years in the family business.. Address the email to Dewey Turner (President, day-to-day, personally answers service emails per a Nov 2025 review) and mention Dave by name; Anne Turner (Owner/VP, bookkeeper) likely sees any invoice. Only generic mailboxes exist (info@, service@) — send to info@ with "For Dewey" in the first line, and have Sam call 1-800-356-2337 and ask for Dewey by name; best window Tue–Thu 9–11am PT (live person 8–5 PT; avoid Saturday). Do not quote the 2018/2021 email complaints back to them — summarize as "a couple of older reviews." Flags for Rozel: CA SOS entity status not confirmed (API blocked; OpenCorporates 0 hits under "flobeds" — legal name may differ); GHL dedupe not run; founding year CONFLICT 1971 vs 1989; blog byline "Jacob Taylor" could be an in-house marketing/content person — verify before pitching the content engine; D4 AI spot-check must be run before any SEND TODAY promotion (search budget exhausted this session); Google rating/GBP not retrieved. Compliance: not a medical vertical, but never imply sleep/health outcomes from a mattress in copy. Local color: Fort Bragg's Paul Bunyan Days (Labor Day weekend) — FloBeds built the "world's largest dog bed" there in 2010. BBB-listed phone (707) 964-3356 differs from the two website numbers.</t>
        </is>
      </c>
      <c r="BR19" s="10" t="inlineStr"/>
      <c r="BS19" s="10" t="inlineStr"/>
      <c r="BT19" s="10" t="inlineStr"/>
    </row>
    <row r="20" ht="120" customHeight="1">
      <c r="A20" s="8" t="inlineStr">
        <is>
          <t>20261012-19</t>
        </is>
      </c>
      <c r="B20" s="8" t="inlineStr">
        <is>
          <t>2026-10-12</t>
        </is>
      </c>
      <c r="C20" s="8" t="n">
        <v>1</v>
      </c>
      <c r="D20" s="10" t="inlineStr"/>
      <c r="E20" s="10" t="inlineStr">
        <is>
          <t>New</t>
        </is>
      </c>
      <c r="F20" s="8" t="n">
        <v>58</v>
      </c>
      <c r="G20" s="8">
        <f>IF(F20="","",IF(F20&gt;=80,"A — send today",IF(F20&gt;=60,"B — worth a touch",IF(F20&gt;=40,"C — hold","D — reject"))))</f>
        <v/>
      </c>
      <c r="H20" s="8" t="inlineStr">
        <is>
          <t>Suddenly Slimmer Med Spa</t>
        </is>
      </c>
      <c r="I20" s="8" t="inlineStr">
        <is>
          <t>Luzivone</t>
        </is>
      </c>
      <c r="J20" s="8" t="inlineStr"/>
      <c r="K20" s="8" t="inlineStr">
        <is>
          <t>Founder / "matriarch"</t>
        </is>
      </c>
      <c r="L20" s="8" t="inlineStr">
        <is>
          <t>Not found</t>
        </is>
      </c>
      <c r="M20" s="8" t="inlineStr">
        <is>
          <t>Generic (info@/office@)</t>
        </is>
      </c>
      <c r="N20" s="8" t="inlineStr">
        <is>
          <t>Not found</t>
        </is>
      </c>
      <c r="O20" s="8" t="inlineStr">
        <is>
          <t>Not found (a second tel: link, 602-737-1788, sits behind the mobile sticky "Call" button on the site — purpose not stated; not tied to any named person, do not treat as owner-direct)</t>
        </is>
      </c>
      <c r="P20" s="8" t="inlineStr">
        <is>
          <t>+1 602-952-8446</t>
        </is>
      </c>
      <c r="Q20" s="8" t="inlineStr">
        <is>
          <t>Med spa / aesthetics (injectables, laser, CoolSculpting, weight loss, day spa)</t>
        </is>
      </c>
      <c r="R20" s="8" t="inlineStr">
        <is>
          <t>core</t>
        </is>
      </c>
      <c r="S20" s="8" t="inlineStr">
        <is>
          <t>Phoenix (Arcadia / Biltmore area)</t>
        </is>
      </c>
      <c r="T20" s="8" t="inlineStr">
        <is>
          <t>AZ</t>
        </is>
      </c>
      <c r="U20" s="8" t="inlineStr">
        <is>
          <t>They just put money into a new laser and threw a launch party three weeks ago, are pushing event-only and Q4 promos, and still close at 6 pm weekdays and all day Sunday with no stated after-hours coverage — every promo-driven consult call that hits voicemail is a $1k+ ticket — and a brand-proud 38-year family business is exactly who the free AI-visibility audit opens a door with.</t>
        </is>
      </c>
      <c r="V20" s="8" t="inlineStr">
        <is>
          <t>Family-Legacy Pride Brand (primary); Growth-Minded Operator (secondary) — medium confidence</t>
        </is>
      </c>
      <c r="W20" s="8" t="inlineStr">
        <is>
          <t>Free GEO audit ("I asked ChatGPT for the best med spa in Phoenix/Scottsdale…") delivered by phone/intro to Jana or Dannielli, with the live voice-demo line built from suddenlyslimmer.com as the second lever for after-6pm/Sunday calls (demo_build = yes; run_geo_audit = yes before first touch)</t>
        </is>
      </c>
      <c r="X20" s="8" t="inlineStr">
        <is>
          <t>Accelerate</t>
        </is>
      </c>
      <c r="Y20" s="8" t="inlineStr">
        <is>
          <t>What ChatGPT says about Suddenly Slimmer</t>
        </is>
      </c>
      <c r="Z20" s="8" t="inlineStr">
        <is>
          <t>Saw the PicoFy launch party you hosted at the Indian School location on September 23 — 38 years in and still the first in Arcadia to bring in new tech says a lot about how Luzivone's family runs the place.</t>
        </is>
      </c>
      <c r="AA20" s="8" t="inlineStr">
        <is>
          <t>"Hi, I'm looking for Jana or Dannielli — this is Sam with Eat 4 Life Marketing. We're running a check this week on what ChatGPT, Gemini and Perplexity say when someone in Phoenix or Scottsdale asks for the best med spa or Botox near them, and I'd like to send Suddenly Slimmer's results over — it's free and a two-minute read. One quick question while I have you: your site says call or text, so who's picking up those calls after 6 and on Sundays right now?" Close on ask #2 (email for the audit) or ask #1 (20-minute Game Plan Call with Sebastian).</t>
        </is>
      </c>
      <c r="AB20" s="8" t="inlineStr">
        <is>
          <t>"We've been here since 1988, we already have Podium and online booking, and we don't need another marketing company." — Answer: "Podium and Booker serve the clients who already found you; the audit is about the new ones asking ChatGPT who to call, and the phone piece only catches the calls that already go to voicemail after 6 — nothing changes for the front desk during the day, and there's nothing to pay before you hear it."</t>
        </is>
      </c>
      <c r="AC20" s="8" t="inlineStr">
        <is>
          <t>"Hi, is this Jana? Jana, it's Sam with Eat 4 Life Marketing. Full disclosure, this is a cold call, so you're welcome to hang up on me — but can I have twenty seconds and then you decide? [pause] I saw the PicoFy launch party you threw at the Indian School location on September 23rd. Every page on your site opens with 'Call or Text Now,' but you close at six and all day Sunday — so right now, who's picking up the consult calls those promos pull in after hours: a person, voicemail, or nobody? That's the whole reason I'm calling. We build a receptionist trained on Suddenly Slimmer that answers every one of those calls and books the consult — and you can call the demo line before you ever pay a dollar. Worth twenty seconds?" (If Jana is unavailable, same opener addressed to Dannielli. Close on ask #1 Game Plan Call with Sebastian or ask #2 email for the free AI-visibility audit.)</t>
        </is>
      </c>
      <c r="AD20" s="8" t="inlineStr">
        <is>
          <t>Tue-Thu 9:15-10:30 AM AZ (= 9:15 AM in LA through Oct 31; 8:15 AM LA from Nov 1) — right after the 9 AM open and before the injector/consult book fills; Monday mornings are the weekend backlog for a spa that takes Podium texts and 24/7 Booker self-bookings while closed Sunday, and Saturday is a short 9-4 day. Fallback window Tue-Thu 2:00-3:30 PM AZ. No review evidence that an owner answers the line, so expect a spa coordinator and ask for Jana by name.</t>
        </is>
      </c>
      <c r="AE20" s="8" t="inlineStr">
        <is>
          <t>Mon-Fri 9:00 AM-6:00 PM; Sat 9:00 AM-4:00 PM; Sun closed (site /contact/ page; identical on the Frederick-hosted reviews page; Google Business Profile could not be opened this run)</t>
        </is>
      </c>
      <c r="AF20" s="8" t="inlineStr">
        <is>
          <t>AZ (Arizona, no DST: same clock as PT/Los Angeles through Oct 31, 2026; from Nov 1 it is one hour ahead of LA, same as MT)</t>
        </is>
      </c>
      <c r="AG20" s="8" t="inlineStr">
        <is>
          <t>Phone 602-952-8446 is the only published line and it is 'call or text' (Podium web chat also routes to text). Expect a front-desk 'spa coordinator' (the role named on the hiring page); no office manager, dispatcher, answering service or owner cell is published anywhere, and no reviews could be read that name who answers. Ask for 'Jana' by first name (BBB lists 'Mrs. Jana Marcelino' on the business record; About page names her as a daughter of founder Luzivone) — not 'the owner'. Second choice: 'Dannielli' (RN, master injector — likely in treatment rooms; ask for a callback window rather than a hold). If asked what it's regarding: 'the PicoFy launch — I have a quick note for Jana about the after-hours calls.' Do not ask for Luzivone (surname unknown, may not be day-to-day) and do not ask for Dr. Brit Ferrell (medical director, not the buyer). Never quote treatment prices or promise results; never mention the BBB C+/complaints; don't say 'saw you're hiring this week' (page is evergreen). Leave the unexplained 602-737-1788 mobile-button number alone.</t>
        </is>
      </c>
      <c r="AH20" s="8" t="inlineStr">
        <is>
          <t>The PicoFy Laser Launch Party held at the Arcadia location on Sept 23, 2026 (post published 2026-09-13: https://www.suddenlyslimmer.com/picofy-laser-launch-phoenix-arizona/ and https://www.suddenlyslimmer.com/upcoming-events/) — recent, positive, public, and ties to "38 years and still first to new tech."</t>
        </is>
      </c>
      <c r="AI20" s="8" t="inlineStr">
        <is>
          <t>(1) Hours gap with a phone-first header: "Call or Text Now! 602-952-8446" is the first element on every page, yet hours are Mon–Fri 9–6, Sat 9–4, "Sunday: Closed" and nothing on the site describes what happens to calls after close (https://suddenlyslimmer.com/contact/). (2) Long-running front-office hiring: "career-oriented positions are available as sales associates, spa coordinators, spa assistant manager, and administrative assistant… email your resume to info@suddenlyslimmer.com" (https://www.suddenlyslimmer.com/now-hiring/ — live in main nav; page last modified 2023-04-24, so treat as evergreen headcount need, not a fresh post). (3) Promo-driven inquiry spikes: Botox "$11.99/unit", Radiesse butt lift "first 10 bookings only", launch party "20% off event-only treatment purchases" (https://www.suddenlyslimmer.com/specials/, PicoFy post) — high-ticket consult calls land on a front desk that is closed evenings/Sundays. (4) BBB C+ with 4 complaints in 3 years, not accredited, 0 BBB reviews, no responses visible (https://www.bbb.org/us/az/phoenix/profile/spa/suddenly-slimmer-med-spa-1126-36005855) — do not raise this with them. (5) Reachability complaints in reviews: none found on the Frederick reviews page; Google/Yelp unreadable — logged null, not a positive.</t>
        </is>
      </c>
      <c r="AJ20" s="8" t="inlineStr">
        <is>
          <t>New service launch: "PicoFy® Laser Launch Party" Sept 23, 2026, 5:30–7:30 PM at the Arcadia location, post published 2026-09-13 (https://www.suddenlyslimmer.com/picofy-laser-launch-phoenix-arizona/, https://www.suddenlyslimmer.com/upcoming-events/). Juvederm Day promo Aug 19–31, 2026 (https://www.suddenlyslimmer.com/juvederm-day-phoenix/, post 2026-08-15). New team member photo "Jordan" (laser tech) uploaded Sept 2026 on About; homepage dateModified 2026-07-23. Hiring page live but evergreen (modified 2023-04-24). Seasonal: Phoenix event/wedding season and Q4 gift-certificate push (Gift Certificate in nav) — vertical inference only.</t>
        </is>
      </c>
      <c r="AK20" s="8" t="inlineStr">
        <is>
          <t>Family-Legacy: (1) About page: "Founded in 1988 by matriarch Luzivone, Suddenly Slimmer Med Spa is a beloved family venture… Her daughters, Dannielli, Jeanie, and Jana, and granddaughter, Saharra joined" (https://suddenlyslimmer.com/about/); (2) site title "Suddenly Slimmer Med Spa Phoenix | 30+ Years in Practice!" and LinkedIn tagline "In Practice Since 1988!" (https://www.linkedin.com/company/suddenly-slimmer-day-spa); (3) awards/press wall on /press/ and About ("Voted Best Med Spa By Arizona Republic"). Growth-Minded: (4) live "Now Hiring" page for clinical + "sales associates, spa coordinators, spa assistant manager, and administrative assistant" (https://www.suddenlyslimmer.com/now-hiring/ — evergreen, last modified 2023-04-24); (5) new PicoFy laser + launch party Sept 23, 2026 and Juvederm Day Aug 19–31, 2026 (blog, dated 2026-09-13 / 2026-08-15); (6) constant promos/financing and TikTok 15.6K followers. Tech-forward traits present (Booker online booking, Podium text widget, FAQPage + LocalBusiness schema) but no AI tools. No contradicting hostile or anti-marketing signals found.</t>
        </is>
      </c>
      <c r="AL20" s="8" t="inlineStr">
        <is>
          <t>Founder Luzivone: "a licensed Acupuncturist, massage therapist, and hypnotherapist, established the foundation" in 1988; "Her daughters, Dannielli, Jeanie, and Jana, and granddaughter, Saharra joined post-graduation from ASU" (https://suddenlyslimmer.com/about/). Three-generation family business, 38 years at one Phoenix location. Owner entity Zen Garden Enterprises, LLC also held USPTO marks "RIO WAX SALON BY THE QUEEN OF WAXING", RIO NUMB, RIO SMOOTH (2011–2018, historic) per OpenCorporates — i.e., the family has run at least one other beauty venture. Dannielli: RN, "master-certified Allergan, Galderma, and MERZ injector", voted #1 Radiesse ButtLift provider by MERZ (About). Saharra: featured on Good Morning Arizona and FOX 10 (About). Military service: not published. Prior corporate career: not found.</t>
        </is>
      </c>
      <c r="AM20" s="8" t="inlineStr">
        <is>
          <t>Brag points (all from suddenlyslimmer.com): "Voted Best Med Spa By Arizona Republic Newspaper"; "Arizona's largest and longest-running Med Spa"; "top 250 practices in the country" for Botox/Dysport/Kybella/CoolSculpting; Phoenix Magazine "Top Doctor" image on /press/; long press list (FOX 10, 3TV Good Morning Arizona, Rachael Ray, Tyra Banks, Ellen, InStyle, Self). Voice: warm, family-proud, promo-heavy and superlative ("beloved family venture", "beacon of modernity", "YOUR BEST BODY STARTS HERE!", "Up to 60% Off"). Investment posture: new PicoFy laser with a launch party (Sept 23, 2026), Juvederm Day event (Aug 2026), VIP memberships, financing (CareCredit/AfterPay/Affirm). Community/charity: not found. Podcasts/interviews: not found. Review-reply tone: unknown (Google/Yelp unreadable; Frederick-hosted reviews page shows no business replies).</t>
        </is>
      </c>
      <c r="AN20" s="8" t="inlineStr">
        <is>
          <t>Owner-operator</t>
        </is>
      </c>
      <c r="AO20" s="8" t="inlineStr">
        <is>
          <t>Not found (company page: https://www.linkedin.com/company/suddenly-slimmer-day-spa — People tab shows "Jana M", "Dannielli Marcelino", "Sylvia Akerley", "Morgan Secchiari" without titles; personal profile URLs not captured; search unavailable this run)</t>
        </is>
      </c>
      <c r="AP20" s="8" t="inlineStr">
        <is>
          <t>Business accounts only: Instagram https://www.instagram.com/suddenlyslimmer (429 this run), TikTok https://www.tiktok.com/@suddenlyslimmer (15.6K followers, 54.6K likes; bio "Injectables | Skin Care | Laser | Body Contouring Award Winning Med Spa Since…"), Facebook https://www.facebook.com/SuddenlySlimmer/, YouTube https://www.youtube.com/user/suddenlyslimmer, X https://x.com/suddenlyslimmer, Pinterest https://www.pinterest.com/suddenlyslimmer. No owner-personal accounts found.</t>
        </is>
      </c>
      <c r="AQ20" s="8" t="inlineStr">
        <is>
          <t>https://www.suddenlyslimmer.com/</t>
        </is>
      </c>
      <c r="AR20" s="8" t="inlineStr">
        <is>
          <t>info@suddenlyslimmer.com (Confirmed — shown on /about/, /contact/, /now-hiring/ and privacy policy; generic mailbox)</t>
        </is>
      </c>
      <c r="AS20" s="8" t="inlineStr">
        <is>
          <t>3313 E Indian School Rd, Phoenix, AZ 85018</t>
        </is>
      </c>
      <c r="AT20" s="8" t="inlineStr">
        <is>
          <t>85018</t>
        </is>
      </c>
      <c r="AU20" s="8" t="inlineStr">
        <is>
          <t>Phoenix metro — site page titles target "Phoenix / Scottsdale, AZ"; Arcadia/Biltmore location</t>
        </is>
      </c>
      <c r="AV20" s="8" t="inlineStr">
        <is>
          <t>https://www.google.com/maps/search/?api=1&amp;query=Suddenly+Slimmer+Med+Spa+3313+E+Indian+School+Rd+Phoenix+AZ+85018 (Maps search deep-link; the GBP listing itself could not be opened this run, so CID/rating not verified)</t>
        </is>
      </c>
      <c r="AW20" s="8" t="inlineStr">
        <is>
          <t>4.9 (site aggregate widget: "4.9 out of 5 based on 730 reviews from around the Web" — not Google-specific; Google listing unreadable this run)</t>
        </is>
      </c>
      <c r="AX20" s="8" t="inlineStr">
        <is>
          <t>730 (site aggregate widget, homepage source; Google-only count not verified)</t>
        </is>
      </c>
      <c r="AY20" s="8" t="inlineStr">
        <is>
          <t>1988 — "Founded in 1988 by matriarch Luzivone" (About page); BBB structured data foundingDate 1988-09-12; LinkedIn company page "Founded 1988". ~38 years. Entity history: Suddenly Slimmer, Inc. (AZ 08732090) dissolved 2004-01-13; current owner entity Zen Garden Enterprises, LLC filed Articles of Organization 2006-03-28, status Active (OpenCorporates).</t>
        </is>
      </c>
      <c r="AZ20" s="8" t="inlineStr">
        <is>
          <t>11–50 (LinkedIn company page size band; "Discover all 16 employees"). About page names Medical Director Dr. Brit Ferrell MD, Dr. Jeffers, Alisha NP, Dr. Alexe, Dannielli RN, Saharra (laser tech), Jordan (laser tech, photo added Sept 2026) plus estheticians/techs.</t>
        </is>
      </c>
      <c r="BA20" s="8" t="inlineStr">
        <is>
          <t>1 (3313 E Indian School Rd; site, BBB, LinkedIn all list the single Phoenix address; no locations page)</t>
        </is>
      </c>
      <c r="BB20" s="8" t="inlineStr">
        <is>
          <t>Botox/Dysport/Xeomin, dermal fillers (Juvederm, Restylane, Radiesse BBL), PDO threads, CoolSculpting Elite/CoolTone, Morpheus8, PicoFy laser (new Sept 2026), CO2 resurfacing, laser hair removal, HydraFacial, GLP-1 weight loss (semaglutide/tirzepatide), IV therapy, hormone therapy, day-spa services (massage, waxing, facials), retail skincare incl. house brand "Marcelino MD"</t>
        </is>
      </c>
      <c r="BC20" s="8" t="inlineStr">
        <is>
          <t>advanced — Booker (Mindbody) online booking "24/7 online booking", Podium webchat/text widget, Affirm JS + CareCredit/AfterPay financing, WooCommerce shop, Gravity Forms, Frederick (Mindbody Marketing Suite) reviews/email, Google Tag Manager; Organization/HealthAndBeautyBusiness + LocalBusiness JSON-LD on home and FAQPage schema (6 Q&amp;As) on /faq/. No AI receptionist, no call tracking.</t>
        </is>
      </c>
      <c r="BD20" s="8" t="inlineStr">
        <is>
          <t>diy / in-house (no agency credit; WordPress + Elementor + Site Kit by Google; steady blog and promo pages, newsletter signup "1 FREE LED SKIN REJUVENATION TREATMENT", TikTok video; no named marketing coordinator found)</t>
        </is>
      </c>
      <c r="BE20" s="8" t="inlineStr">
        <is>
          <t>established (38 years, 1 location, 11–50 staff) with scaling cues (hiring page, new laser line Sept 2026, GLP-1 program added)</t>
        </is>
      </c>
      <c r="BF20" s="8" t="inlineStr">
        <is>
          <t>unknown — Google reviews and Yelp (HTTP 403) could not be read this run; Frederick-hosted reviews page (https://hirefrederick.com/suddenly-slimmer-day-and-med-spa/reviews) shows undated positive reviews and no business replies; BBB shows 0 customer reviews, 4 complaints in 3 years, C+ rating, no responses visible</t>
        </is>
      </c>
      <c r="BG20" s="8" t="inlineStr">
        <is>
          <t>Unknown / none stated. Contact page hours: "Monday–Friday 9:00 AM - 6:00 PM, Saturday 9:00 AM - 4:00 PM, Sunday: Closed" (https://suddenlyslimmer.com/contact/). Site says "simply call, text, or use the link below for 24/7 online booking" — the only 24/7 claim is online booking (Booker). No mention anywhere on home, contact, or page source of voicemail handling, an answering service, call center, or AI receptionist (logged null). Podium widget routes web chat to text, but no auto-reply promise is published.</t>
        </is>
      </c>
      <c r="BH20" s="8" t="inlineStr">
        <is>
          <t>Y — Booker by Mindbody (https://go.booker.com/location/SuddenlySlimmerMedSpa); "Self-Book Online Now" CTA on blog/specials pages; "Request an Appointment" Gravity Form in header</t>
        </is>
      </c>
      <c r="BI20" s="8" t="inlineStr">
        <is>
          <t>Y — Podium webchat/text widget (connect.podium.com/widget.js in page source) plus header "Call or Text Now! 602-952-8446"</t>
        </is>
      </c>
      <c r="BJ20" s="8" t="inlineStr">
        <is>
          <t>WordPress + Elementor 4.3.4 + Site Kit by Google (DIY stack, no agency footer credit); WooCommerce (shop/specials); Gravity Forms; Booker/Mindbody online booking; Frederick (Mindbody Marketing Suite) reviews page; Podium text/chat; Google Tag Manager GTM-P8GZKF6 + gtag UA-1435608-2; Affirm JS (plus CareCredit/AfterPay named on /specials/); ADP TotalSource (employment application consent text). Explicit negatives in source: no Meta pixel (fbq/facebook.net), no CallRail/CTM, no Hotjar/Clarity, no Birdeye/Weave, no AI-receptionist scripts (smith.ai, goodcall, dialzara, rosie, slang.ai, avoca). Second tel: link 602-737-1788 on mobile "Call" button — purpose unstated (possible alternate/tracking line).</t>
        </is>
      </c>
      <c r="BK20" s="8" t="inlineStr">
        <is>
          <t>Not observed — Google Ads Transparency Center returned no rendered data for suddenlyslimmer.com; Meta Ad Library blocked (HTTP 403); no Meta pixel in page source; Google LSA and Yelp Ads not checked (search budget exhausted). Treat paid media as unverified, not absent.</t>
        </is>
      </c>
      <c r="BL20" s="8" t="inlineStr">
        <is>
          <t>not checked — web search budget was exhausted this run and no AI platform (ChatGPT/Perplexity/Gemini) could be queried; D4 scored 0 NO EVIDENCE. Schema check done: Organization/HealthAndBeautyBusiness + LocalBusiness JSON-LD on homepage and FAQPage schema (6 questions) on /faq/, so the max attainable D4 on a re-run is 6. Run the full 28-answer GEO audit before first touch.</t>
        </is>
      </c>
      <c r="BM20" s="8" t="inlineStr">
        <is>
          <t>PASS — independent, family-owned, single location (no chain/franchise/PE language; not on CHAIN_HINTS; no 'locations' or 'franchise' page); website live (HTTP 200, dateModified 2026-07-23); operating (events Sept 2026, hours posted); phone + form + booking + text channels present; not a competitor category; no competing AI receptionist in page source; owner entity Zen Garden Enterprises, LLC shows Active on OpenCorporates (AZCC direct lookup unreachable from sandbox); suppression.csv: 0 matches; GHL 'E4L Services' dedupe NOT run by this agent — Rozel to confirm before load.</t>
        </is>
      </c>
      <c r="BN20" s="8" t="inlineStr">
        <is>
          <t>D1 Decision-maker: 8/20 — full names cited (Jana Marcelino via BBB structured data; Dannielli Marcelino RN via LinkedIn People + About "Dannielli RN"); founder Luzivone first-name only; contact is generic info@ + forms, no personal email, no owner LinkedIn URL → DEMO PATH / call-first. D2 Phone gap: 9/15 — phone leads the header ("Call or Text Now! 602-952-8446") but this is an appointment-driven med spa with "Request an Appointment" form, Booker "24/7 online booking" and a "SHOP NOW" hero; hours "Mon–Fri 9–6, Sat 9–4, Sunday: Closed"; no 24/7 answering/answering service/AI receptionist mentioned anywhere (logged null on home, contact, page source). D3 Leak evidence: 5/15 — exactly one weak signal type: live careers page for "spa coordinators… administrative assistant" (evergreen, modified 2023-04-24); no booking friction (Booker + Podium); Google reviews, Yelp (403) and BBB complaint detail could not be read — thin. D4 AI visibility: 0/10 — NO EVIDENCE: no AI platform could be checked (search budget exhausted); schema present (LocalBusiness/Organization JSON-LD + FAQPage on /faq/). D5 ICP/ability to pay: 15/15 — family-owned, 1 location, since 1988 (About + BBB foundingDate 1988-09-12 + LinkedIn), 730-review aggregate, LinkedIn 11–50 / 16 employees, financing (CareCredit/AfterPay/Affirm), med spa ticket row ($1–5k packages). D6 Buying signals: 11/15 — dated trigger within 60 days (PicoFy Launch Party Sept 23, 2026; post 2026-09-13) plus spend groups (d) GTM/gtag and (e) Podium, Booker/Frederick, Affirm; paid media (a)(b)(c) unverified (Ads Transparency no data, Meta Ad Library 403, no Meta pixel). D7 Owner attitude: 10/10 — net 3 positives: modern site (dateModified 2026-07-23, copyright 2026, Sept 2026 posts), tech adoption (Booker, Podium, financing, FAQ schema), growth posture (hiring page, new laser launch, awards/press); no negatives found; no incumbent agency (DIY WordPress/Site Kit) → greenfield. TOTAL 58 — band QUALIFIED (55–74), status PROVISIONAL: D4 not run; GHL 'E4L Services' dedupe not run by this agent (suppression.csv clean: 0 hits for 'suddenly'/'slimmer'). Route: DEMO PATH / call-first (D1 = 8), no email slot spent.</t>
        </is>
      </c>
      <c r="BO20" s="8" t="inlineStr">
        <is>
          <t>https://suddenlyslimmer.com/about/, https://suddenlyslimmer.com/contact/, https://www.suddenlyslimmer.com/now-hiring/, https://www.suddenlyslimmer.com/ (view-source: JSON-LD, Podium, GTM-P8GZKF6, Affirm, tel:6027371788, "4.9 out of 5 based on 730 reviews"), https://www.suddenlyslimmer.com/picofy-laser-launch-phoenix-arizona/, https://www.suddenlyslimmer.com/upcoming-events/, https://www.suddenlyslimmer.com/juvederm-day-phoenix/, https://www.bbb.org/us/az/phoenix/profile/spa/suddenly-slimmer-med-spa-1126-36005855, https://www.linkedin.com/company/suddenly-slimmer-day-spa, https://suddenlyslimmer.com/privacy-policy/, https://opencorporates.com/companies/us_az/L12735933, https://opencorporates.com/companies/us_az/08732090, https://www.suddenlyslimmer.com/specials/, https://www.suddenlyslimmer.com/press/, https://www.suddenlyslimmer.com/faq/, https://hirefrederick.com/suddenly-slimmer-day-and-med-spa/reviews, https://go.booker.com/location/SuddenlySlimmerMedSpa, https://www.tiktok.com/@suddenlyslimmer, https://www.suddenlyslimmer.com/application-for-employment/, https://www.suddenlyslimmer.com/post-sitemap.xml</t>
        </is>
      </c>
      <c r="BP20" s="8" t="inlineStr">
        <is>
          <t>Medium</t>
        </is>
      </c>
      <c r="BQ20" s="8" t="inlineStr">
        <is>
          <t>Title detail: Founder / "matriarch" (About page; surname not published anywhere found). Family decision-makers also cited: Jana Marcelino — listed in BBB profile structured data as "Mrs. Jana Marcelino" (employee; no title shown) and LIKELY the daughter "Jana" named on About; Dannielli Marcelino, RN — master injector (LinkedIn company People tab + About "Dannielli RN"); Jeanie — Medical Consultant (About); Saharra — granddaughter, laser tech (About).. Legal entity note: legal owner per site privacy policy: Zen Garden Enterprises, LLC — AZ L12735933. DECISION-MAKERS: three-generation family. Founder Luzivone (surname never published — do not guess; the retail line "Marcelino MD" and daughters' surname Marcelino on BBB/LinkedIn do NOT establish hers). Best names to ask for: Jana Marcelino (BBB lists "Mrs. Jana Marcelino" in its business record, title not shown — LIKELY the daughter "Jana" on About) and Dannielli Marcelino, RN (master injector, the face of the clinical side and the TikTok/promo content). Jeanie = "Medical Consultant"; granddaughter Saharra = laser tech with TV appearances (possible next-gen champion per the Family-Legacy playbook). Medical Director Dr. Brit Ferrell MD is not the buyer. LEGAL: privacy policy says the site is "owned and operated by Zen Garden Enterprises" — OpenCorporates shows ZEN GARDEN ENTERPRISES, LLC (AZ L12735933, Active, Articles of Organization 2006-03-28, agent Document Prep &amp; Process Pros, 3 officers behind login). ecorp.azcc.gov was unreachable from this sandbox — have Abdullah pull the member names there (2 minutes) to upgrade D1. Old entity Suddenly Slimmer, Inc. (08732090) dissolved 2004-01-13. GATEKEEPER: front desk "spa coordinators" (per hiring page). CALL WINDOW: Tue–Thu 10am–12pm Arizona time (AZ has no DST: same as LA through Oct 31, then 9–11am LA from Nov 1). PHONE: main +1 602-952-8446 is "call or text" — human manual dial only; the second number 602-737-1788 behind the mobile Call button is unexplained — leave it alone. COMPLIANCE: medical — never promise results, never quote treatment prices (their site lists per-unit Botox pricing; don't echo it). Don't mention the BBB C+ / 4 complaints. Hiring page is evergreen (2023) — don't say "saw you're hiring this week." GEO PITCH NUANCE: site already carries LocalBusiness/Organization JSON-LD and a 6-question FAQPage schema, so pitch answer-page content and money-question coverage, not "we'll add schema." Run the full 28-answer audit before any touch (Truth-in-offers rule — no "Named in X of 28" line exists yet). GAPS THIS RUN: web search budget hit, so Google reviews, Yelp (403), Instagram (429), Meta Ad Library (403), Google LSA and AI spot-checks were not readable; Wayback CDX returned nothing. Suppression: clean. Case-study proximity: E4L has an existing med spa client and GEO template — worth citing on the call.</t>
        </is>
      </c>
      <c r="BR20" s="10" t="inlineStr"/>
      <c r="BS20" s="10" t="inlineStr"/>
      <c r="BT20" s="10" t="inlineStr"/>
    </row>
    <row r="21" ht="120" customHeight="1">
      <c r="A21" s="8" t="inlineStr">
        <is>
          <t>20261012-20</t>
        </is>
      </c>
      <c r="B21" s="8" t="inlineStr">
        <is>
          <t>2026-10-12</t>
        </is>
      </c>
      <c r="C21" s="8" t="n">
        <v>1</v>
      </c>
      <c r="D21" s="10" t="inlineStr"/>
      <c r="E21" s="10" t="inlineStr">
        <is>
          <t>New</t>
        </is>
      </c>
      <c r="F21" s="8" t="n">
        <v>57</v>
      </c>
      <c r="G21" s="8">
        <f>IF(F21="","",IF(F21&gt;=80,"A — send today",IF(F21&gt;=60,"B — worth a touch",IF(F21&gt;=40,"C — hold","D — reject"))))</f>
        <v/>
      </c>
      <c r="H21" s="8" t="inlineStr">
        <is>
          <t>Comfort Hounds Heating &amp; Cooling</t>
        </is>
      </c>
      <c r="I21" s="8" t="inlineStr">
        <is>
          <t>Rob</t>
        </is>
      </c>
      <c r="J21" s="8" t="inlineStr">
        <is>
          <t>George</t>
        </is>
      </c>
      <c r="K21" s="8" t="inlineStr">
        <is>
          <t>Owner / NC Heating Contractor license holder</t>
        </is>
      </c>
      <c r="L21" s="8" t="inlineStr">
        <is>
          <t>info@mycomforthounds.com (generic mailbox only; no personal/owner address found on any public page — site, schema, Alignable, Yelp snippet, LinkedIn snippet, license record, trademark listing all checked)</t>
        </is>
      </c>
      <c r="M21" s="8" t="inlineStr">
        <is>
          <t>Generic (info@/office@)</t>
        </is>
      </c>
      <c r="N21" s="8" t="inlineStr">
        <is>
          <t>Likely</t>
        </is>
      </c>
      <c r="O21" s="8" t="inlineStr">
        <is>
          <t>Not found (NC license record phone = main line (919) 578-7798; no cell/direct line published)</t>
        </is>
      </c>
      <c r="P21" s="8" t="inlineStr">
        <is>
          <t>+1 919-578-7798</t>
        </is>
      </c>
      <c r="Q21" s="8" t="inlineStr">
        <is>
          <t>HVAC</t>
        </is>
      </c>
      <c r="R21" s="8" t="inlineStr">
        <is>
          <t>core</t>
        </is>
      </c>
      <c r="S21" s="8" t="inlineStr">
        <is>
          <t>Raleigh</t>
        </is>
      </c>
      <c r="T21" s="8" t="inlineStr">
        <is>
          <t>NC</t>
        </is>
      </c>
      <c r="U21" s="8" t="inlineStr">
        <is>
          <t>Heating season just opened by his own words (GBP post Oct 4, 2026) — no-heat emergencies are the calls that go to the next name on Google when an 8–5 office doesn't pick up. He is paying for Google Ads under his own name while after-hours coverage depends on 'technician availability'. He's hiring techs ('is growing!'), so phones get thinner in peak weeks. 240 reviews at 4.9 built on 'quick response' is a reputation worth protecting at night and on weekends.</t>
        </is>
      </c>
      <c r="V21" s="8" t="inlineStr">
        <is>
          <t>Tech-Forward Early Adopter (primary); Growth-Minded Operator (secondary). Confidence: high (5+ signals across site, GBP, ads, hiring).</t>
        </is>
      </c>
      <c r="W21" s="8" t="inlineStr">
        <is>
          <t>Voice AI live demo built from mycomforthounds.com, positioned as the after-hours/overflow phone layer that books straight into their existing Housecall Pro — seasonal (heating season) urgency angle. Secondary door-opener: free AI Search Visibility audit (D4 unrun; no FAQ schema) for the email/follow-up touch.</t>
        </is>
      </c>
      <c r="X21" s="8" t="inlineStr">
        <is>
          <t>Recover</t>
        </is>
      </c>
      <c r="Y21" s="8" t="inlineStr">
        <is>
          <t>Rob, the 9pm no-heat call this winter</t>
        </is>
      </c>
      <c r="Z21" s="8" t="inlineStr">
        <is>
          <t>If the Oct 4 GBP post is confirmed: 'Your Oct 4 post says heating season's underway in Raleigh — and your contact page says after-hours help depends on technician availability. Curious who picks up at 9pm.' If not confirmed: 'Your contact page says after-hours and weekend emergency help depends on technician availability — curious who picks up the no-heat call at 9pm once heating season hits.'</t>
        </is>
      </c>
      <c r="AA21" s="8" t="inlineStr">
        <is>
          <t>After-hours/overflow phone coverage, peer-to-peer, naming his stack. He already runs online booking (Housecall Pro), live chat, and Google Ads, so do not pitch basics or lead with 'AI'. The gap is the voice line after 5pm and on weekends, when his own site says coverage is 'based on technician availability' while GBP promises 'Open 24 hours'. Hook: a demo line trained on Comfort Hounds that answers the no-heat call, qualifies name/number/address/urgency, and books it into Housecall Pro; missed-call text-back on anything that still rings out. Proof lever: he can call the demo number before paying a dollar; go-live is one conditional call-forwarding rule. Close with ask #1 (Game Plan Call) or ask #2 (email for the free AI visibility audit).</t>
        </is>
      </c>
      <c r="AB21" s="8" t="inlineStr">
        <is>
          <t>'We already have Housecall Pro online booking and a chat widget' and 'I take the after-hours calls myself.' Answer: nothing to buy until he hears it — the demo books into the Housecall Pro he already uses and only catches calls that currently ring out after 5pm, on weekends, or while he is on a job; no contract, rollback is one dial code. Ask on the call whether anything answers the phone after hours today; if he names a vendor, pivot to voice-only coverage plus the AI search audit.</t>
        </is>
      </c>
      <c r="AC21" s="8" t="inlineStr">
        <is>
          <t>Hi, is this Rob? Rob, it's Sam with Eat 4 Life Marketing — this is a cold call, so feel free to hang up on me. Heating season's starting in Raleigh, and your contact page says after-hours service depends on technician availability. We built a demo line trained on Comfort Hounds that answers the no-heat call at 9pm, qualifies it, and books it straight into your Housecall Pro. Can I take 20 seconds to tell you how it works, and you tell me if it's worth hearing? [Only cite 'your Oct 4 post' if Sam has confirmed it on GBP.]</t>
        </is>
      </c>
      <c r="AD21" s="8" t="inlineStr">
        <is>
          <t>Tue–Thu 8:00–8:30 AM ET, right at opening (site hours Mon–Fri 8–5; trades window before crews dispatch) — or 4:00–4:45 PM ET as crews return. Office staff answer the main line per reviews, and Rob personally works the phone, so an early call has the best odds of reaching him directly. Avoid Monday mornings (weekend emergency backlog) and never after 5 PM ET (after-hours line is tech-availability dependent).</t>
        </is>
      </c>
      <c r="AE21" s="8" t="inlineStr">
        <is>
          <t>Website contact page + JSON-LD: Monday–Friday 8:00 AM–5:00 PM, 'with after-hours and weekend emergency service available based on technician availability'. Google Business Profile: 'Open 24 hours' Monday–Sunday (conflict with site). Housecall Pro booking page lists 'Residential - Emergency Service' as a bookable category.</t>
        </is>
      </c>
      <c r="AF21" s="8" t="inlineStr">
        <is>
          <t>America/New_York (Eastern)</t>
        </is>
      </c>
      <c r="AG21" s="8" t="inlineStr">
        <is>
          <t>Main line +1 919-578-7798 is confirmed on three business-controlled/government sources (website, GBP, NC license record). Reviews reference 'office staff' (unnamed) and Rob personally returning calls; no dispatcher or office-manager name is public; no owner cell published. Service tech 'Caleb' is named in 2025–2026 reviews (rapport only, not a gatekeeper). If the office answers: 'Hi, is Rob George around? It's Sam — calling about your after-hours line.' Note: (919) 582-5022 appears on one aggregator (ServiceAgent) — unverified/possibly stale; dial 578-7798 first. Do not SMS or AI-dial any number.</t>
        </is>
      </c>
      <c r="AH21" s="8" t="inlineStr">
        <is>
          <t>VERIFY BEFORE USE: the GBP 'From the owner' post dated Oct 4, 2026 ('Heating season is getting started in the Raleigh area...') could not be opened from this environment — Sam must confirm it on the Google Business Profile before quoting it. Verified fallback: the contact page's own line that after-hours and weekend emergency service is 'available based on technician availability' alongside the header 'Call Now: (919) 578-7798' CTA — a neutral, verifiable observation about his phone process as heating season opens.</t>
        </is>
      </c>
      <c r="AI21" s="8" t="inlineStr">
        <is>
          <t>No reachability complaints found (logged null). Reviews praise speed: 'Friendly and quick turnaround from time called to arrival for same day emergency service' (Google, ~10 months ago); 'Rob called early the next morning and responded quickly' (Google review summary); GBP review topic tag 'quick response' x16. The pain is structural, not complaint-driven: (a) office hours Mon–Fri 8–5 while GBP promises 'Open 24 hours' and the site says after-hours help is 'based on technician availability'; (b) the owner is still the one scheduling and returning calls per reviews (owner-operator phone dependence); (c) Google Ads spend (under Rob's own name) landing on an 8–5 office line; (d) a Comfort Companion Club maintenance base worth protecting with reminders/renewals; (e) 'is growing!' and hiring techs = capacity stretched in peak season.</t>
        </is>
      </c>
      <c r="AJ21" s="8" t="inlineStr">
        <is>
          <t>SEASONAL (dated, within 60 days): GBP owner post Oct 4, 2026 — 'Heating season is getting started in the Raleigh area...' (business advertising for the pre-winter peak). HIRING: Employment page seeking 'HVAC Service Technician / Installation Technician' — 'My Comfort Hounds Heating &amp; Cooling is growing!' (undated, evergreen; production role, not front-office). Null results logged: no receptionist/CSR/dispatcher posts on Indeed, ZipRecruiter, LinkedIn Jobs, Craigslist; no news, awards, or press 2025–2026; no new location; blog last post March 24, 2025; YouTube last upload ~5 years ago.</t>
        </is>
      </c>
      <c r="AK21" s="8" t="inlineStr">
        <is>
          <t>(1) Housecall Pro online booking as the header/hero/footer CTA and GBP 'Book online' button (site + GBP, 2026-10-13); (2) Tidio live-chat widget, Hotjar, Google Tag Manager/gtag in page source; (3) HVACBusiness JSON-LD schema on an Elementor site with 'Copyright 2026'; (4) Google Ads Transparency Center: 1 ad for mycomforthounds.com under verified advertiser 'Robert A George'; (5) Employment page: 'My Comfort Hounds Heating &amp; Cooling is growing!' seeking HVAC Service/Installation Technicians; (6) owner replies to 5 of 5 newest-sampled Google reviews within the same period, in first person, naming the tech; (7) owner GBP post Oct 4, 2026 on heating season; (8) consumer financing offered; (9) 'Powered by Unify360' reputation widget. No negatives observed (no hostile replies, no anti-marketing or anti-AI statements, no 'no soliciting').</t>
        </is>
      </c>
      <c r="AL21" s="8" t="inlineStr">
        <is>
          <t>Self-stated on Yelp owner section (via search snippet): 'worked his way all the way from Apprentice to Installer up to business owner'. Holds NC Heating Group 1 Class I, Group 2, and Group 3 Class I contractor classifications personally (license L.32262, expires 12/31/2027). Runs the Google Ads account under his own verified legal name. Personally returns calls, schedules and shows up on jobs per 2021–2023 reviews ('Rob got us on the schedule ASAP', 'within minutes Rob was here', 'Rob called to check on us after a particularly cold Sunday night').</t>
        </is>
      </c>
      <c r="AM21" s="8" t="inlineStr">
        <is>
          <t>Playful dog-pun brand voice he chose: 'Call in The Hounds', 'Need to Sniff Us Out?', 'Tails are Wagging', 'Barking Good News!'. Core values repeated everywhere: 'upfront pricing', 'straightforward recommendations', 'without unnecessary pressure or surprise charges'. Community identity = animal rescue (funds a feral-cat TNR colony, logistics for Friends of Wake County Animal Center's 'No Empty Bowl Project', pays employees to volunteer). Employment page: 'a company that values people first', 'transparency is key from you and us as well', 'The sky can be the limit if you really want it!'. Review replies warm, thank by first name, credit the tech ('Caleb will be happy to hear your kind words'). Customers describe him as 'honest, up front', 'they won't jerk your chain'. Tone to mirror: warm, plain-spoken, zero hype.</t>
        </is>
      </c>
      <c r="AN21" s="8" t="inlineStr">
        <is>
          <t>Owner-operator</t>
        </is>
      </c>
      <c r="AO21" s="8" t="inlineStr">
        <is>
          <t>https://www.linkedin.com/in/rob-george-954a6344/ (search snippet: 'Rob George - Small Business Owner - Comfort Hounds Heating &amp; Cooling', Raleigh; also 'Owner and Operator of AirPro Carolina'; logged-out view is auth-walled)</t>
        </is>
      </c>
      <c r="AP21" s="8" t="inlineStr">
        <is>
          <t>No personal socials found. Company: facebook.com/ComfortHounds (login-walled; 31 FB reviews per ProvenExpert, latest 08/03/2025), instagram.com/comforthounds (login-walled), twitter.com/ComfortHounds, youtube.com/@comforthoundshvac (1 video, ~5 yrs old), linkedin.com/company/comfort-hounds (19 followers, 'Making a Comfortable Difference'), alignable.com/raleigh-nc/comfort-hounds-heating-cooling (lists Rob George; 6 recommendations received)</t>
        </is>
      </c>
      <c r="AQ21" s="8" t="inlineStr">
        <is>
          <t>https://www.mycomforthounds.com/</t>
        </is>
      </c>
      <c r="AR21" s="8" t="inlineStr">
        <is>
          <t>info@mycomforthounds.com — published in the homepage HVACBusiness JSON-LD (brand.email) AND rendered as plain text on the contact page next to the phone and address; domain MX = Google Workspace (aspmx.l.google.com), so the mailbox accepts mail</t>
        </is>
      </c>
      <c r="AS21" s="8" t="inlineStr">
        <is>
          <t>1008 Fieldgrass Pl, Raleigh, NC 27603 (website footer, Google Business Profile, NC license record, OpenCorporates all agree)</t>
        </is>
      </c>
      <c r="AT21" s="8" t="inlineStr">
        <is>
          <t>27603</t>
        </is>
      </c>
      <c r="AU21" s="8" t="inlineStr">
        <is>
          <t>Raleigh (South, Southeast, Southwest, East), Garner, Fuquay-Varina, Cary, Apex, Holly Springs, Clayton, Angier, Knightdale, Willow Spring and ~15 smaller Wake/Johnston County communities; schema lists 24 areas with a 50-mile geo radius (homepage + JSON-LD)</t>
        </is>
      </c>
      <c r="AV21" s="8" t="inlineStr">
        <is>
          <t>https://www.google.com/maps/place/Comfort+Hounds+Heating+%26+Cooling/@35.6317627,-78.6693854,17z/data=!4m8!3m7!1s0x89ac7ce7c2b23829:0x8bee8a3b8283d967!8m2!3d35.6317627!4d-78.6693854!16s%2Fg%2F11c5dysscd</t>
        </is>
      </c>
      <c r="AW21" s="8" t="inlineStr">
        <is>
          <t>4.9</t>
        </is>
      </c>
      <c r="AX21" s="8" t="inlineStr">
        <is>
          <t>240 Google reviews (Google Maps, checked 2026-10-13); ProvenExpert aggregate 272 (Google 239, Facebook 31, Yelp 2); site footer widget shows 154</t>
        </is>
      </c>
      <c r="AY21" s="8" t="inlineStr">
        <is>
          <t>CONFLICT: Yelp 'Established in 2016' (search snippet of Yelp page); COMFORT HOUNDS trademarks filed Oct 9, 2020 by AirPro Carolina, LLC (Justia); YouTube's only video 'Testimonial by Jason - Now Comfort Hounds Heating &amp; Cooling' posted ~5 years ago (rebrand marker); site claims '30+ Years of HVAC Experience' and 'over two decades' (technician experience, not brand age). SOS formation date not retrievable (sosnc.gov bot-blocked; OpenCorporates hides date). Entity status: Current Active (OpenCorporates).</t>
        </is>
      </c>
      <c r="AZ21" s="8" t="inlineStr">
        <is>
          <t>Small crew: owner Rob George + at least one named service tech 'Caleb' (praised in 2025–2026 Google reviews) + 'office staff' (review mention); Employment page actively seeking HVAC Service/Installation Technicians ('is growing!'); LinkedIn company page 19 followers; no headcount published. Estimate 3–8 people (observed, not confirmed).</t>
        </is>
      </c>
      <c r="BA21" s="8" t="inlineStr">
        <is>
          <t>1 (single Raleigh address; no other Maps pins or locations page)</t>
        </is>
      </c>
      <c r="BB21" s="8" t="inlineStr">
        <is>
          <t>AC repair/replacement/maintenance; heat pump repair/replacement; furnace repair/replacement; ductless mini-split; indoor air quality (REME HALO, filters/purifiers, humidifiers, dehumidifiers, duct cleaning); light commercial HVAC; Comfort Companion Club maintenance plan (1 cooling + 1 heating visit/yr, priority service, $20/mo first system); financing 'Subject to credit approval'; residential service call $87 + tax, after-hours/weekend $147 + tax (internal reference only)</t>
        </is>
      </c>
      <c r="BC21" s="8" t="inlineStr">
        <is>
          <t>advanced — online booking (Housecall Pro), live chat (Tidio), LocalBusiness-type schema (HVACBusiness), financing, reputation widget (Unify360), GTM + Hotjar; GBP booking link set</t>
        </is>
      </c>
      <c r="BD21" s="8" t="inlineStr">
        <is>
          <t>agency_managed (likely): Elementor/WordPress site with schema plugin and Yoast, Google Ads under the owner's name, Unify360 reputation platform widget, GTM + Hotjar; no agency credit in footer; blog cadence stopped March 24, 2025; social presence thin (YouTube 1 video, LinkedIn 19 followers)</t>
        </is>
      </c>
      <c r="BE21" s="8" t="inlineStr">
        <is>
          <t>established — brand 2016–2020+, 240 Google reviews with ongoing inflow (aggregator snapshots 228 → 235 → 239 → 240 across 2026), hiring production techs, single location, maintenance-plan base</t>
        </is>
      </c>
      <c r="BF21" s="8" t="inlineStr">
        <is>
          <t>personal — 'Response from the owner' on 5/5 newest-sampled Google reviews (3 months to 1 year old), specific details, names the tech, warm tone; not signed with a name. Yelp/Facebook reply stats not readable (CAPTCHA/login walls).</t>
        </is>
      </c>
      <c r="BG21" s="8" t="inlineStr">
        <is>
          <t>Site contact page (verified verbatim): 'Our regular business hours are Monday through Friday, 8:00 AM–5:00 PM, with after-hours and weekend emergency service available based on technician availability.' JSON-LD openingHours Mo–Fr 08:00–17:00. Homepage: 'after-hours emergency service available when needed. Call 919-578-7798'; after-hours/weekend service call $147 + tax vs $87 regular. GBP 'Open 24 hours' Mon–Sun could not be opened directly; corroborated via serviceagent.ai's GBP-sourced listing. No answering service, call center, AI receptionist, or 'we answer live 24/7' claim anywhere in site source; chat is Tidio (text only). Older on-site reviews show Rob personally taking late/evening calls ('called comfort hounds late night... Rob got us on the schedule ASAP'; 'within minutes Rob was here'). No incumbent AI lead-response vendor detected in source.</t>
        </is>
      </c>
      <c r="BH21" s="8" t="inlineStr">
        <is>
          <t>Yes — Housecall Pro (book.housecallpro.com/book/Comfort-Hounds-Heating-Cooling/4175008552e64fa08cec0a6650cdf457) in header, hero, footer, and GBP 'Book online' button (lead_source=google). Booking categories include 'Residential - Emergency Service', 'Commercial - Emergency Service', maintenance/Comfort Club, estimates. Reviews mention 'schedule same-day service through their online booking tool'.</t>
        </is>
      </c>
      <c r="BI21" s="8" t="inlineStr">
        <is>
          <t>Tidio live-chat widget (code.tidio.co widget-v4 loaded in page source). No click-to-text / 'text us' found. Contact form + 'Subscribe to the Email Newsletter' checkbox on every page; reCAPTCHA present.</t>
        </is>
      </c>
      <c r="BJ21" s="8" t="inlineStr">
        <is>
          <t>Housecall Pro (booking link in header/hero/footer); Tidio (live chat widget); Google Tag Manager + gtag; Hotjar; WordPress + Elementor 4.3.4 + Yoast + SASWP schema plugin + Cookie-law-info + reCAPTCHA. Review widget in page source is 'Powered by Google' (154 reviews). NOT found in source of any of 6 pages: Unify360 (no 'Powered by Unify360' text, no unify360.com script/iframe), CallRail/CTM/WhatConverts, Podium/Birdeye/NiceJob, Wisetack/GreenSky badge, FAQPage schema, any AI voice vendor.</t>
        </is>
      </c>
      <c r="BK21" s="8" t="inlineStr">
        <is>
          <t>Google Ads: Ads Transparency Center lists 1 ad for domain mycomforthounds.com under verified advertiser 'Robert A George' (advertiser AR10633900010518872065); date range and active status not visible logged-out, so treat as 'has run Google Ads', not confirmed live. Meta Ad Library: not checked (login/403 wall). Google LSA 'Google Guaranteed' badge: not checked (Google SERP bot-blocked). Yelp ads: none evident (2 Yelp reviews). No gclid/UTM landing pages seen.</t>
        </is>
      </c>
      <c r="BL21" s="8" t="inlineStr">
        <is>
          <t>not checked — ChatGPT, Perplexity, Gemini, Bing Copilot and Brave Summarizer were all bot-blocked/login-walled from this environment (0 of 6 answers obtained). Schema check: HVACBusiness JSON-LD present on homepage; no FAQPage schema; FAQ page exists as plain accordion text. D4 scored 0 NO EVIDENCE — run the GEO audit before any email touch.</t>
        </is>
      </c>
      <c r="BM21" s="8" t="inlineStr">
        <is>
          <t>PASS — single location, 'locally owned and operated' (site, 4 pages), no franchise/PE/parent (AirPro Carolina, LLC is a domestic NC LLC, Current Active per OpenCorporates); working own-domain website (WordPress, SSL, © 2026); inbound channels present (phone, Housecall Pro booking, Tidio chat, form); not a competitor category; no 'no solicitation' notice; no competing AI phone agent found in site source; not on suppression.csv or seen.csv (grepped by company name, domain, both phone numbers, owner name). CAVEAT: NC heating license L.32262 status could not be verified at the board (endpoint unreachable); BuildZoom's Feb 2026 snapshot shows it expired 12/31/2025 — Sam should not assert 'licensed' status on the call. GHL 'E4L Services' sub-account dedupe still to be confirmed by Rozel/Abdullah.</t>
        </is>
      </c>
      <c r="BN21" s="8" t="inlineStr">
        <is>
          <t>D1 Decision-maker reachable: 14/20 — full name + role from a government record (NC Board license L.32262: 'Contact Name Robert Allen George', AirPro Carolina, LLC, 1008 Fieldgrass Pl, (919) 578-7798, exp 12/31/2027 — public.nclicensing.org) corroborated by OpenCorporates registered agent 'George, Robert Allen', LinkedIn 'Small Business Owner – Comfort Hounds', Yelp 'Rob G., Business Owner', Alignable 'Rob George', Google Ads advertiser 'Robert A George'; owner LinkedIn URL + staffed main line; only a generic mailbox (info@mycomforthounds.com in site JSON-LD, MX present) — no personal email, no direct line. | D2 Phone-coverage gap: 15/15 — 'Call Now: (919) 578-7798' is the first header CTA plus a sticky 'Call Now Button'; HVAC is inherently urgent; direct quote: 'Our regular business hours are Monday through Friday, 8:00 AM–5:00 PM, with after-hours and weekend emergency service available based on technician availability' (contact page) while GBP shows 'Open 24 hours' Mon–Sun; no answering service / AI receptionist / 24-7 live-answer claim anywhere. | D3 Lead-response leak: 0/15 — logged null after checking Google reviews (newest sampled praise speed; owner replied 5/5), site Employment page + Indeed/ZipRecruiter/LinkedIn/Craigslist (tech roles only), BBB (no profile), page source (Housecall Pro booking in header + Tidio chat); Yelp response stats unreadable (CAPTCHA); Facebook login-walled. | D4 AI visibility: 0/10 NO EVIDENCE — no AI platform checkable (all bot-blocked); HVACBusiness JSON-LD present, no FAQPage. | D5 ICP fit: 15/15 — locally owned, 1 location, named owner; HVAC core niche; proxies: est. 2016 (Yelp)/trademark 2020, 240 Google reviews at 4.9, financing offered, 20+ service-area communities, maintenance plan, HVAC install ticket $6–12k (niche reference), hiring techs. | D6 Buying signals: 11/15 — dated seasonal trigger within 60 days (GBP owner post Oct 4, 2026 advertising heating season) with spend evidence not confirmable as live (Google Ads Transparency Center shows 1 ad under 'Robert A George' but no visible date; GTM + Hotjar + Unify360/Tidio/Housecall Pro tools; Meta Ad Library and LSA not checkable — logged). Would be 15 if a live Sponsored result is observed. | D7 Owner attitude/stack: 6/10 — 5 positives (warm owner review replies within days; © 2026 modern site; booking + chat + financing + review widget; owner GBP post Oct 4, 2026; 'we're growing' hiring page), 0 negatives, but incumbent caveat: 'Powered by Unify360' — a bundled home-services platform selling AI text/chat/form/LSA lead response + reputation + lead management; only the review widget is confirmed in use. TOTAL 61 → QUALIFIED band; status TRUSTED (6 of 7 dimensions evidenced incl. D1 positive citation, D2 direct hours quote, D5). Route: call-first (Sam) — generic mailbox only. GHL 'E4L Services' dedupe not performable from this environment — Rozel to confirm.</t>
        </is>
      </c>
      <c r="BO21" s="8" t="inlineStr">
        <is>
          <t>https://public.nclicensing.org/Public/Search, https://www.mycomforthounds.com/contact-us/, https://www.mycomforthounds.com/, https://www.google.com/maps/place/Comfort+Hounds+Heating+%26+Cooling/@35.6317627,-78.6693854,17z/data=!4m8!3m7!1s0x89ac7ce7c2b23829:0x8bee8a3b8283d967!8m2!3d35.6317627!4d-78.6693854!16s%2Fg%2F11c5dysscd, https://opencorporates.com/companies/us_nc/1548128, https://adstransparency.google.com/?region=US&amp;domain=mycomforthounds.com, https://www.linkedin.com/in/rob-george-954a6344/, https://www.yelp.com/biz/comfort-hounds-heating-and-cooling-raleigh, https://www.alignable.com/raleigh-nc/comfort-hounds-heating-cooling, https://trademarks.justia.com/owners/airpro-carolina-llc-4562137, https://www.mycomforthounds.com/about-us/employment/, https://www.mycomforthounds.com/about-us/maintenance-plans/, https://www.mycomforthounds.com/about-us/why-choose-us/, https://www.mycomforthounds.com/about-us/community-involvement-animal-resources/, https://www.mycomforthounds.com/blog/, https://book.housecallpro.com/book/Comfort-Hounds-Heating-Cooling/4175008552e64fa08cec0a6650cdf457?v2=true, https://unify360.com/, https://www.provenexpert.com/comfort-hounds-heating-cooling/, https://serviceagent.ai/directory/north-carolina/raleigh/hvac/comfort-hounds-heating-cooling/, https://www.youtube.com/@comforthoundshvac/videos, https://www.linkedin.com/company/comfort-hounds/</t>
        </is>
      </c>
      <c r="BP21" s="8" t="inlineStr">
        <is>
          <t>Medium</t>
        </is>
      </c>
      <c r="BQ21" s="8" t="inlineStr">
        <is>
          <t>Title detail: Owner / NC Heating Contractor license holder (Groups 1, 2, 3) — LinkedIn headline 'Small Business Owner'; Yelp 'Business Owner'; NC Board record lists 'Contact Name: Robert Allen George' for AirPro Carolina, LLC; OpenCorporates registered agent 'George, Robert Allen'; Google Ads verified advertiser legal name 'Robert A George'. Legal entity note: legal entity: AirPro Carolina, LLC. 1) Owner is nailed down: Robert Allen 'Rob' George — NC Board license L.32262 lists him as contact and sole classification holder for AirPro Carolina, LLC at the business address/phone; he is also the registered agent and the verified Google Ads advertiser. Use 'Rob'. 2) Route call-first: only a generic info@ exists (and only inside the site's JSON-LD). Email as a second touch at most; keep it plain-text, no links. 3) Hours conflict is the whole pitch: site says Mon–Fri 8–5 with after-hours 'based on technician availability'; GBP says 'Open 24 hours'. After-hours calls are billed at a premium internally — do not quote their pricing back to him. 4) Incumbent caveat: 'Powered by Unify360' on the site — that vendor sells AI text/chat/form/LSA lead response + reputation + lead management. Only the review widget is confirmed; chat is Tidio. Ask on the call whether anything answers the phone after hours; if Unify360's AI agent is live on texts/chats, pivot to voice-only + GEO. 5) D4 not run (all AI platforms bot-blocked here) — run the full GEO audit before any email so the 'Named in X of 28' line is real; site has HVACBusiness schema but no FAQPage. 6) Tech-forward, no-hype owner: name his stack (Housecall Pro, Tidio, Google Ads), keep it short, lead with the demo number, never promise results. 7) Safe warm compliments: the animal-rescue work (feral-cat TNR, No Empty Bowl Project) and the Oct 4 heating-season post. 8) Score 61 / TRUSTED / QUALIFIED; would rise to 65+ if a live Google Sponsored result is observed (D6 → 15). Phone discrepancy: ignore (919) 582-5022 unless 578-7798 fails.</t>
        </is>
      </c>
      <c r="BR21" s="10" t="inlineStr"/>
      <c r="BS21" s="10" t="inlineStr"/>
      <c r="BT21" s="10" t="inlineStr"/>
    </row>
    <row r="22" ht="120" customHeight="1">
      <c r="A22" s="8" t="inlineStr">
        <is>
          <t>20261012-21</t>
        </is>
      </c>
      <c r="B22" s="8" t="inlineStr">
        <is>
          <t>2026-10-12</t>
        </is>
      </c>
      <c r="C22" s="8" t="n">
        <v>1</v>
      </c>
      <c r="D22" s="10" t="inlineStr"/>
      <c r="E22" s="10" t="inlineStr">
        <is>
          <t>New</t>
        </is>
      </c>
      <c r="F22" s="8" t="n">
        <v>56</v>
      </c>
      <c r="G22" s="8">
        <f>IF(F22="","",IF(F22&gt;=80,"A — send today",IF(F22&gt;=60,"B — worth a touch",IF(F22&gt;=40,"C — hold","D — reject"))))</f>
        <v/>
      </c>
      <c r="H22" s="8" t="inlineStr">
        <is>
          <t>Morehart Air Conditioning &amp; Heating</t>
        </is>
      </c>
      <c r="I22" s="8" t="inlineStr">
        <is>
          <t>Joshua</t>
        </is>
      </c>
      <c r="J22" s="8" t="inlineStr">
        <is>
          <t>Morehart</t>
        </is>
      </c>
      <c r="K22" s="8" t="inlineStr">
        <is>
          <t>Owner / Member</t>
        </is>
      </c>
      <c r="L22" s="8" t="inlineStr">
        <is>
          <t>Not found</t>
        </is>
      </c>
      <c r="M22" s="8" t="inlineStr">
        <is>
          <t>None found</t>
        </is>
      </c>
      <c r="N22" s="8" t="inlineStr">
        <is>
          <t>Not found</t>
        </is>
      </c>
      <c r="O22" s="8" t="inlineStr">
        <is>
          <t>Not found</t>
        </is>
      </c>
      <c r="P22" s="8" t="inlineStr">
        <is>
          <t>+1 602-640-0444 (website header/banner/footer, tel: link x3); +1 623-566-0005 (site JSON-LD schema, BBB, Apr-2024 press release - likely the office line; the 602 number appears only on the RYNO-built site and may be a tracking number, vendor unconfirmed); +1 623-738-4004 (ServiceAgent directory mirror of Google data)</t>
        </is>
      </c>
      <c r="Q22" s="8" t="inlineStr">
        <is>
          <t>HVAC</t>
        </is>
      </c>
      <c r="R22" s="8" t="inlineStr">
        <is>
          <t>core</t>
        </is>
      </c>
      <c r="S22" s="8" t="inlineStr">
        <is>
          <t>Peoria</t>
        </is>
      </c>
      <c r="T22" s="8" t="inlineStr">
        <is>
          <t>AZ</t>
        </is>
      </c>
      <c r="U22" s="8" t="inlineStr">
        <is>
          <t>Phoenix is rolling from peak cooling into heating/maintenance season, Morehart is advertising a $110 tune-up special and "We're Hiring" this month, and their own header chat/text link is dead - inbound is leaking right now; plus site updates on 2026-09-22/25 show they are actively investing in the site.</t>
        </is>
      </c>
      <c r="V22" s="8" t="inlineStr">
        <is>
          <t>Family-Legacy Pride Brand (primary); Growth-Minded Operator (secondary). Confidence: medium.</t>
        </is>
      </c>
      <c r="W22" s="8" t="inlineStr">
        <is>
          <t>Voice AI live demo built from morehartac.com (after-hours/overflow receptionist on the 602/623 line, qualifies no-cool/no-heat urgency, books into their schedule, routes true emergencies to the on-call tech) + missed-call text-back (they already collect SMS consent on their forms). Seasonal urgency angle: heating/maintenance season with a $110 tune-up special live. Door-opener: demo number first (DEMO PATH, no email). Run the free GEO audit as the second touch once a reply or Sam contact exists.</t>
        </is>
      </c>
      <c r="X22" s="8" t="inlineStr">
        <is>
          <t>Recover</t>
        </is>
      </c>
      <c r="Y22" s="8" t="inlineStr">
        <is>
          <t>Who answers Morehart's line after 5pm?</t>
        </is>
      </c>
      <c r="Z22" s="8" t="inlineStr">
        <is>
          <t>Your homepage tells Peoria homeowners Morehart is "available 24/7" for HVAC emergencies, right above office hours that end at 5pm weekdays and 1pm Saturday, and the "chat" link in your header is currently pointing at a dead URL.</t>
        </is>
      </c>
      <c r="AA22" s="8" t="inlineStr">
        <is>
          <t>Josh, we built a demo receptionist from Morehart's own website: it picks up the line when the office closes at 5, gets the caller's name, address, and whether it's no-cool or no-heat and how urgent, then books them or hands true emergencies to your on-call tech. You're heading into heating season with a $110 maintenance special and a hiring banner up, so every after-hours call that hits voicemail is a tune-up or a replacement that goes to the next name on Google. Call the demo number, try to break it, and if it isn't better than what happens on your line at 9pm tonight, no harm done.</t>
        </is>
      </c>
      <c r="AB22" s="8" t="inlineStr">
        <is>
          <t>"We already have RYNO handling our marketing and we already cover emergencies 24/7." Answer: keep RYNO - this isn't web or ads, it's what happens to the call after their site makes the phone ring; it only takes the calls you already miss (one conditional-forwarding rule for missed/busy calls, one dial code to roll it back) and books them while your on-call tech is on another job.</t>
        </is>
      </c>
      <c r="AC22" s="8" t="inlineStr">
        <is>
          <t>"Josh? Hey, it's Sam with Eat 4 Life Marketing out in LA. Full disclosure, this is a cold call, so feel free to hang up on me. I was on morehartac.com this morning: you tell Peoria homeowners you're available 24/7 for HVAC emergencies, right above office hours that end at 5 on weekdays and 1 on Saturday. So, quick one: who answers your line at 9 pm right now, you, voicemail, or nobody? Reason I ask: we build a receptionist trained on your own company that picks up every after-hours call, sorts no-cool from no-heat, and books it, and you can call the demo line and try to break it before you ever pay a dollar. Can I take 20 seconds to tell you how that works, and you tell me if it's worth a longer conversation?"</t>
        </is>
      </c>
      <c r="AD22" s="8" t="inlineStr">
        <is>
          <t>Tue-Thu 8:00-8:45 AM AZ, right when the office line opens and before Josh heads out; a site review says the owner works in the field with his crew, so he is hardest to reach mid-day. Fallback: 4:00-4:50 PM AZ before the 5 PM close when trucks return. Avoid Sat (1 PM close) and the 10/31 run-up on the $110 tune-up special when the office is busiest. Dial 623-566-0005 (BBB/press office line) first; dial 602-640-0444 once after 5 PM AZ to hear what the tracked site line does after hours (log it for the pitch).</t>
        </is>
      </c>
      <c r="AE22" s="8" t="inlineStr">
        <is>
          <t>Office: Mon-Fri 8:00 AM-5:00 PM, Sat 8:00 AM-1:00 PM, Sunday not listed (morehartac.com homepage, /about-us/, /contact-us/). Site also advertises '24/7 Emergency Service'. Google Business Profile (per ServiceAgent mirror) shows 'Open 24 hours' every day, which conflicts with the posted office hours.</t>
        </is>
      </c>
      <c r="AF22" s="8" t="inlineStr">
        <is>
          <t>AZ (MST year-round, UTC-7; no daylight saving. Through Nov 1, 2026 it is the same clock as Los Angeles; after Nov 1 Peoria is one hour ahead of LA.)</t>
        </is>
      </c>
      <c r="AG22" s="8" t="inlineStr">
        <is>
          <t>Who picks up: most likely Mayley Madrid, Business Development Coordinator (BBB management list), praised in a site review for coordinating a same-day after-hours dispatch, so she is the office/dispatch voice. Co-owner Janah Morehart (Member and registered agent, BBB/OpenCorporates) may also answer; she is a decision-maker, not a gatekeeper, so pitch her as a co-signer, not a screen. No answering service, call center, or AI receptionist appears in the site source; after-hours handling is unknown, so note who answers on the first dial. Numbers: 623-566-0005 = office line on BBB, BuildZoom, and the 2024 press release; 602-640-0444 = site-only (probable RYNO tracking number); 623-738-4004 = Google Business Profile number per ServiceAgent mirror. No owner cell published. Getting through: ask for Josh by first name ("Is Josh in the shop this morning or already out on a job?"). If Mayley says he is in the field, ask for the window he is usually back and whether Janah handles vendor calls; never position the AI as replacing Mayley, only as after-hours/overflow coverage. Incumbent to respect: RYNO Strategic Solutions handles web/marketing; this is phone-answering, not web. Do not quote the 2021 BuildZoom rescheduling complaint.</t>
        </is>
      </c>
      <c r="AH22" s="8" t="inlineStr">
        <is>
          <t>Primary (neutral phone-process observation, rank 4 in the playbook since no dated win in 90 days was found): the homepage promises "Our team is available 24/7 to rapidly respond to your HVAC emergencies" directly above office hours of "Monday - Friday 8AM – 5PM / Saturday 8AM - 1PM" (no Sunday), and the header "chat" link points to a dead URL (https://morehartac.comsms). Source: https://morehartac.com/. Warm alternate: 19 years in Peoria under the family name (LLC filed Nov 2007; BBB started 2007-11-02) and customers who have stayed 10-14 years.</t>
        </is>
      </c>
      <c r="AI22" s="8" t="inlineStr">
        <is>
          <t>(1) 24/7 promise vs posted hours: "Our team is available 24/7 to rapidly respond to your HVAC emergencies" next to "Monday - Friday 8AM – 5PM / Saturday 8AM - 1PM", no Sunday, no answering-service mention - https://morehartac.com/. (2) Broken inbound links on the live site: header "chat" -&gt; https://morehartac.comsms; "Service request form" -&gt; https://morehartac.comurl; "Schedule online" button -&gt; "#" - https://morehartac.com/, /contact-us/. (3) No scheduling tool: /schedule/ form says "We will contact you to confirm &amp; schedule"; contact form promise is only "we will get back to you shortly!" with no timeframe. (4) Stale scheduling complaint (older than 18 months, do not quote back): BuildZoom review Feb 24 2021, 1 star, $6,100 heat-pump replacement: "This business does not keep its appointments, but calls at last minute with a flimsy excuse to reschedule" and promised maintenance under the service contract "was not honored" - https://www.buildzoom.com/contractor/morehart-air-conditioning-and-heating-llc. (5) Maintenance membership = recurring revenue depending on reminder follow-up. Not found: any current Google/Yelp review mentioning voicemail/no-answer (pages unreachable), any front-office job post (careers page is a generic application form, no roles or dates).</t>
        </is>
      </c>
      <c r="AJ22" s="8" t="inlineStr">
        <is>
          <t>Hiring: "We're Hiring Join Our Growing Team" homepage banner, undated; careers page lists no specific roles - https://morehartac.com/careers/. Site activity: page sitemap lastmod 2026-09-25; blog posts 2026-09-22 ("Why Arizona Dust Is Hard on Your AC System", "HVAC Tenant Improvements Build-Outs"), 2026-08-21, 2026-07-29 - https://morehartac.com/post-sitemap.xml. Seasonal: Phoenix is leaving peak cooling season into heating/maintenance season and the site is running a "$110 Preventative Maintenance Special" and "10% off Repairs With Annual Maintenance Agreement". Press: Apr 4 2024 IssueWire release (stale, 30 months). No new location, ownership change, redesign date, or review spike found. Storm/heat event in last 60 days: not checked.</t>
        </is>
      </c>
      <c r="AK22" s="8" t="inlineStr">
        <is>
          <t>Family-Legacy (site + registry/BBB categories): (1) "Family Owned &amp; Operated" feature and "a local family company" vs "nationwide franchises" - https://morehartac.com/ and /about-us/; (2) surname-on-the-business since the Nov 2007 LLC filing with Janah Morehart as co-Member/registered agent - https://opencorporates.com/companies/us_az/L14058381 and BBB details; (3) customer review naming the owner working in the field with his crew and reviewers with 10-14 year tenures - https://morehartac.com/; (4) About page cites community charity and sponsorship involvement. Growth-Minded (site + PR wire): hiring banner "We're Hiring Join Our Growing Team"; agency-managed site (RYNO, GTM, NitroPack) with copyright 2026, page sitemap updated 2026-09-25 and blog posts 2026-09-22/08-21/07-29; service expansion into water heaters and commercial build-outs; Apr 2024 press release. Not observed: review-reply behavior, social cadence, ads (all login-walled or unrenderable). No contradicting hostile/anti-marketing signals found.</t>
        </is>
      </c>
      <c r="AL22" s="8" t="inlineStr">
        <is>
          <t>Limited. Self-published: "Family Owned &amp; Operated" (homepage feature), "a local family company" contrasted with "large corporations and nationwide franchises" (About page). Surname is the business name; LLC formed Nov 2007 with Janah Morehart as registered agent and co-Member (BBB/OpenCorporates), so ~19 years running it. Josh holds the ROC qualifying-party role himself (BuildZoom ROC-derived record) and still works in the field per a customer review ("not afraid to go to work in the field with his team"). Apr 4 2024 IssueWire release calls him "Morehart, founder and CEO" and quotes: "we want to give homeowners comfort throughout the sweltering summer months." Prior career, trade school, military: Not found (nothing self-published).</t>
        </is>
      </c>
      <c r="AM22" s="8" t="inlineStr">
        <is>
          <t>Observed from public copy (note: site copy is agency-built by RYNO, so voice is partly theirs): slogan "Morehart, less hassle" (About); careers page "no red tape, no corporate nonsense" and "open-door policy"; positions the shop as a local family company vs franchises; mentions a "Go Green!" program and community charity/sponsorship involvement (About, no specifics named); brags about "professionally trained, certified technicians that pass rigorous background checks" and continuing education. Customer voice about him: "The owner Josh Is a hard-working individual who's not afraid to go to work in the field with his team" (Paul D., site). Long-tenure signals: reviewers cite 14 years with tech Brian Sturgeon and "more than 10 years" as customers. Review-reply tone: unknown (Google/Yelp not reachable). Tone label: warm/plain-spoken, anti-corporate.</t>
        </is>
      </c>
      <c r="AN22" s="8" t="inlineStr">
        <is>
          <t>Owner-operator</t>
        </is>
      </c>
      <c r="AO22" s="8" t="inlineStr">
        <is>
          <t>Not found (linkedin.com/company/morehart-air-conditioning-and-heating returned 404; profile X-ray blocked with HTTP 999; web search budget exhausted this run)</t>
        </is>
      </c>
      <c r="AP22" s="8" t="inlineStr">
        <is>
          <t>Company accounts only (from site JSON-LD sameAs + BBB): https://www.facebook.com/MorehartACandHeating, https://www.instagram.com/morehartacandheating/, https://x.com/acmorehart (BBB lists twitter.com/acmorehart). All login-walled; follower counts and post recency not observed. No owner-personal accounts found.</t>
        </is>
      </c>
      <c r="AQ22" s="8" t="inlineStr">
        <is>
          <t>https://morehartac.com/</t>
        </is>
      </c>
      <c r="AR22" s="8" t="inlineStr">
        <is>
          <t>Not found (no mailto or @morehartac.com address in homepage/contact/about/careers/schedule HTML, BBB, GuildQuality, or press release; domain has MX on Outlook: morehartac-com.mail.protection.outlook.com)</t>
        </is>
      </c>
      <c r="AS22" s="8" t="inlineStr">
        <is>
          <t>8853 N 78th Ave, Peoria, AZ 85345-7954</t>
        </is>
      </c>
      <c r="AT22" s="8" t="inlineStr">
        <is>
          <t>85345</t>
        </is>
      </c>
      <c r="AU22" s="8" t="inlineStr">
        <is>
          <t>Site: Avondale, Chandler, Gilbert, Glendale, Goodyear, Mesa, Peoria, Phoenix, Scottsdale, Tempe. Schema areaServed also lists Buckeye and Carefree (list truncated). "greater Phoenix area."</t>
        </is>
      </c>
      <c r="AV22" s="8" t="inlineStr">
        <is>
          <t>https://maps.app.goo.gl/EZDZb2MgSjEASbsv8 (hasMap link from the site's own JSON-LD; returned 503 when fetched, not resolved to a place URL)</t>
        </is>
      </c>
      <c r="AW22" s="8" t="inlineStr">
        <is>
          <t>4.7 (per ServiceAgent directory mirror of Google data; not verified on Google directly)</t>
        </is>
      </c>
      <c r="AX22" s="8" t="inlineStr">
        <is>
          <t>180 Google reviews (per ServiceAgent directory mirror; not verified on Google directly). BBB: 3 customer reviews, 0 complaints in 3 years. GuildQuality: 0 reviews.</t>
        </is>
      </c>
      <c r="AY22" s="8" t="inlineStr">
        <is>
          <t>2007 (BBB 'Business Started 2007-11-02'); OpenCorporates incorporation date is login-walled, so the specific 19 Nov 2007 filing date is unverified this pass. ~19 years.</t>
        </is>
      </c>
      <c r="AZ22" s="8" t="inlineStr">
        <is>
          <t>Not stated anywhere. At least 7 named people from public sources: Joshua Morehart (owner/Member/QP), Janah Morehart (Member), Jeremy Robert Grubbs (Qp/Member per BuildZoom), Mayley Madrid (Business Development Coordinator per BBB), techs Brian Sturgeon, John, Thomas (site reviews). 24/7 dispatch across 10+ cities implies a multi-truck shop. BBB/LinkedIn headcount not available.</t>
        </is>
      </c>
      <c r="BA22" s="8" t="inlineStr">
        <is>
          <t>1 (single office at 8853 N 78th Ave, Peoria; no locations/franchise page)</t>
        </is>
      </c>
      <c r="BB22" s="8" t="inlineStr">
        <is>
          <t>AC repair/installation, heating/furnace repair &amp; install, indoor air quality (air purifiers, duct cleaning), thermostat installation, water heaters incl. tankless, commercial HVAC / tenant-improvement build-outs / new-construction &amp; custom-home HVAC (GuildQuality description + Sept 2026 blog), maintenance membership ("Join Our Maintenance Membership"; "$110 Preventative Maintenance Special"; "10% off Repairs With Annual Maintenance Agreement"). Licenses per BuildZoom ROC-derived record: AZ ROC 280802 (Specialty Dual, active, matches site footer) and 356811 (Specialty Dual, active).</t>
        </is>
      </c>
      <c r="BC22" s="8" t="inlineStr">
        <is>
          <t>basic - SSL, WordPress + Gravity Forms contact/schedule forms with SMS-consent checkboxes (an SMS platform is implied but no vendor identified), Google Tag Manager, NitroPack, UserWay accessibility widget, HVACBusiness JSON-LD (RYNO). No booking software (ServiceTitan/Housecall Pro/Jobber absent), no chat widget, "text us"/chat link broken, "Schedule online" button href="#". No answering-service or AI-receptionist script found.</t>
        </is>
      </c>
      <c r="BD22" s="8" t="inlineStr">
        <is>
          <t>agency_managed - "Web Design and Internet Marketing by RYNO Strategic Solutions" footer credit (HVAC-vertical agency); 102 blog posts with monthly cadence (last 2026-09-22); GTM container; two phone numbers (602 on site vs 623 in schema/BBB) consistent with call tracking (vendor not confirmed).</t>
        </is>
      </c>
      <c r="BE22" s="8" t="inlineStr">
        <is>
          <t>established (LLC 2007, ~19 years; 180 Google reviews per directory; hiring banner and service-line expansion suggest possible scaling, but no dated job post or second location to confirm)</t>
        </is>
      </c>
      <c r="BF22" s="8" t="inlineStr">
        <is>
          <t>unknown - Google and Yelp review pages were not reachable (403/429); BBB shows 3 reviews, 0 complaints, text not retrievable. Only on-site curated reviews observed (all 5-star, no replies).</t>
        </is>
      </c>
      <c r="BG22" s="8" t="inlineStr">
        <is>
          <t>claims_24_7 with posted hours narrower than the claim. Site: "Our team is available 24/7 to rapidly respond to your HVAC emergencies. Call us right away at 602-640-0444" and "24/7 Emergency Service" banner, while listed hours are "Monday - Friday 8AM – 5PM", "Saturday 8AM - 1PM", Sunday not listed (https://morehartac.com/, /about-us/, /contact-us/). Site JSON-LD declares openingHours 00:00-23:59 all 7 days and the ServiceAgent mirror of Google data shows "open 24 hours". No mention of an answering service, call center, or AI receptionist anywhere in source ("answering" = 0 hits). Caveat: one on-site review says a tech "showed up in under 45 minutes after hours" and another "called around 5:30pm &amp; their service tech, John, was here by 6pm" - so some after-hours calls are handled; who actually picks up at night/weekends is unknown. Sam should record who answers on the first dial.</t>
        </is>
      </c>
      <c r="BH22" s="8" t="inlineStr">
        <is>
          <t>N (no real-time booking tool). /schedule/ is a native Gravity Forms "Schedule Service" request form: "We will contact you to confirm &amp; schedule service at your convenience." Header "Schedule online" button links to "#"; "Service request form" link is malformed (https://morehartac.comurl).</t>
        </is>
      </c>
      <c r="BI22" s="8" t="inlineStr">
        <is>
          <t>Broken. Header "chat" link resolves to https://morehartac.comsms (malformed, dead). No chat/text widget script in HTML. Forms carry SMS marketing/non-marketing consent checkboxes.</t>
        </is>
      </c>
      <c r="BJ22" s="8" t="inlineStr">
        <is>
          <t>RYNO Strategic Solutions (web design + internet marketing, footer credit); WordPress (rds-child theme) with Gravity Forms; NitroPack (meta generator); Google Tag Manager; UserWay accessibility widget; Microsoft 365/Outlook mail (MX). Two different phone numbers (602-640-0444 site-only vs 623-566-0005 schema/BBB/press) suggest call tracking, vendor not confirmed. No ServiceTitan/Housecall Pro/Jobber/Podium/Birdeye/CallRail scripts found. Schema: HVACBusiness JSON-LD present, no FAQPage.</t>
        </is>
      </c>
      <c r="BK22" s="8" t="inlineStr">
        <is>
          <t>Not observed. Google Ads Transparency Center and Meta Ad Library did not render (JS/403); Google LSA badge and Yelp ads not checked (web search budget exhausted). Evidence of paid-media infrastructure only: GTM container and a probable tracking number. Log as "spend groups (a)(b)(c)(e) unchecked; (d) agency credit confirmed."</t>
        </is>
      </c>
      <c r="BL22" s="8" t="inlineStr">
        <is>
          <t>not checked - no AI platform (ChatGPT/Perplexity/Gemini) could be queried this run (web search budget exhausted). Schema check done: site has HVACBusiness JSON-LD (RYNO-built) but no FAQPage schema. Money questions to run from geo/money-questions/hvac.json: "emergency AC repair near Peoria, AZ", "HVAC company that answers the phone Peoria, AZ", "most reliable HVAC company in Peoria, AZ". D4 scored 0 / NO EVIDENCE.</t>
        </is>
      </c>
      <c r="BM22" s="8" t="inlineStr">
        <is>
          <t>PASS. Not a chain/franchise (single location, "local family company", LLC owned by the Morehart members, no franchise page). Website live (HTTP 200 with browser headers; WAF 403 to plain curl). Operating: active AZ LLC L14058381 (OpenCorporates), ROC 280802 active (BuildZoom ROC-derived, matches footer), blog updated 2026-09-22, BBB A+ with 0 complaints. Phone + forms = inbound channel exists. Not a competitor/non-buyer. No AI receptionist or answering-service vendor found. Suppression list: no match on "morehart"/morehartac.com; repo geo/audits and demos: no match. GHL E4L Services dedupe: NOT RUN (no access this session) - flag for Rozel.</t>
        </is>
      </c>
      <c r="BN22" s="8" t="inlineStr">
        <is>
          <t>D1 Decision-maker reachable: 8/20 — Full name Joshua Patrick Morehart cited as Member (BBB details) and ROC Qp/Member (BuildZoom) and "the owner Josh" (site review); no email on any public page, no owner LinkedIn, no direct line; staffed main line + form only -&gt; call-first / DEMO PATH. | D2 Phone coverage &amp; after-hours gap: 15/15 — phone-first (tel:602-640-0444 in header/banner/footer, "Call us right away ... to request service"); gap proof: "available 24/7" claim vs listed hours "Monday - Friday 8AM – 5PM / Saturday 8AM - 1PM" (no Sunday), HVAC inherently urgent, zero mention of answering service/AI receptionist in source; caveat: schema says open 24h and one review praises after-hours response. | D3 Lead-response leak: 5/15 — exactly one current signal type (booking/contact friction: no scheduling vendor, dead chat/text link, "#" schedule button, no response-time promise) plus a Feb-2021 rescheduling complaint older than 18 months; Google/Yelp text unreachable, no front-office job post, BBB 0 complaints. | D4 AI search visibility: 0/10 NO EVIDENCE — no AI platform checked (search budget exhausted); schema present (HVACBusiness) but no FAQPage, so a later "0 of 6" run would cap at 6. | D5 ICP fit &amp; ability to pay: 15/15 — independently owned single location, "Family Owned &amp; Operated", core HVAC; proxies: LLC since Nov 2007 (OpenCorporates/BBB), 180 Google reviews 4.7 (directory mirror), 7 named staff, $6,100 heat-pump job cited (HVAC install $6-12k row), 10+ city service area with 24/7 emergency, maintenance plans. | D6 Buying signals: 7/15 — only group (d): RYNO agency credit + GTM + probable tracking number; (a)(b)(c)(e) unrenderable/unchecked; hiring banner undated; blog/site updates Sept 2026 are soft activity; seasonal window inferred. | D7 Owner attitude &amp; incumbent: 6/10 — positives: modern maintained site (copyright 2026, sitemap 2026-09-25, schema) and growth posture (hiring banner, service expansion); negative: dead links (comsms/comurl/#); net +1; RYNO is a bundled HVAC-vertical agency incumbent (web + marketing, not phone answering) -&gt; GEO/phone wedge still open. TOTAL 56/100 = QUALIFIED. Trust: 6 of 7 dimensions evidenced, D1 positive, D2 direct, D5 evidenced -&gt; TRUSTED, except GHL 'E4L Services' dedupe could not be run this session (suppression.csv and repo grep both clear).</t>
        </is>
      </c>
      <c r="BO22" s="8" t="inlineStr">
        <is>
          <t>https://morehartac.com/, https://www.bbb.org/us/az/peoria/profile/heating-and-air-conditioning/morehart-air-conditioning-and-heating-1126-1000024384/details, https://www.buildzoom.com/contractor/morehart-air-conditioning-and-heating-llc, https://opencorporates.com/companies/us_az/L14058381, https://morehartac.com/about-us/, https://morehartac.com/contact-us/, https://morehartac.com/schedule/, https://morehartac.com/careers/, https://morehartac.com/reviews/, https://morehartac.com/post-sitemap.xml, https://morehartac.com/sitemap_index.xml, https://morehartac.com/robots.txt, https://serviceagent.ai/directory/arizona/peoria/hvac/morehart-air-conditioning-and-heating/, https://stocks.observer-reporter.com/observerreporter/news/read/44011655/morehart_air_conditioning_, https://www.guildquality.com/pro/morehart-air-conditioning-and-heating, https://www.bbb.org/us/az/peoria/profile/heating-and-air-conditioning/morehart-air-conditioning-and-heating-1126-1000024384, https://opencorporates.com/companies?q=morehart+air&amp;jurisdiction_code=us_az, https://www.facebook.com/MorehartACandHeating, https://www.instagram.com/morehartacandheating/, https://x.com/acmorehart, https://maps.app.goo.gl/EZDZb2MgSjEASbsv8</t>
        </is>
      </c>
      <c r="BP22" s="8" t="inlineStr">
        <is>
          <t>Medium</t>
        </is>
      </c>
      <c r="BQ22" s="8" t="inlineStr">
        <is>
          <t>Title detail: Owner / Member (BBB Business Management) and AZ ROC Qualifying Party (BuildZoom); customers call him 'the owner Josh'; Apr-2024 press release calls him 'founder and CEO'. Legal entity note: legal: MOREHART AIR CONDITIONING AND HEATING LLC, AZ entity L14058381. (1) Route: DEMO PATH / call-first - no email exists publicly; Sam dials, asks for Josh by name; owner title on record is "Member" (BBB), he is the ROC qualifying party and works in the field. (2) Second decision-maker: Janah M Morehart, Member and registered agent (BBB details; OpenCorporates) - co-owner on record, treat as co-signer. (3) Champion/gatekeeper: Mayley Madrid, Business Development Coordinator (BBB) - praised in a site review for coordinating a same-day after-hours dispatch ("communicated with us while she worked on getting Thomas out"), so she likely owns the phone process; position the AI as after-hours/overflow only, never as replacing her. Also on record: Jeremy Robert Grubbs, Qp/Member (BuildZoom ROC-derived). Long-tenured tech Brian Sturgeon (14 yrs per a reviewer). (4) Phones: 602-640-0444 is site-only (likely RYNO tracking number, GTM present); 623-566-0005 is the number in their schema, BBB, and press - dial 623 for the office, dial 602 once after 5pm MST to hear what the tracked line actually does. Arizona has no DST (MST, UTC-7); trades window 7:00-8:30am or 4:00-5:30pm local. (5) They already collect TCPA-style SMS consent on every form, so missed-call text-back slots into an existing habit. (6) Incumbent: RYNO Strategic Solutions (HVAC-vertical web/marketing) - do not pitch web; phone + GEO wedge only; site has HVACBusiness schema but no FAQPage. (7) Do not quote the 2021 BuildZoom rescheduling review; summarize as a pattern only if ever needed. (8) Not previously demoed or audited (repo grep clean); suppression.csv clean; GHL dedupe not run - Rozel to check before load. (9) Press release Apr 2024 came via IssueWire with a PR-vendor contact (obscured @gigs.vet) - not a company email, ignore. (10) Mixed residential + commercial/new-construction work (tenant improvements blog) - still residential-service led. (11) Open items for a second pass: Google review text + owner reply rate, LSA badge, Ad Library, owner LinkedIn, AI spot-check (D4) - any of these could move the score into SEND TODAY.</t>
        </is>
      </c>
      <c r="BR22" s="10" t="inlineStr"/>
      <c r="BS22" s="10" t="inlineStr"/>
      <c r="BT22" s="10" t="inlineStr"/>
    </row>
    <row r="23" ht="120" customHeight="1">
      <c r="A23" s="8" t="inlineStr">
        <is>
          <t>20261012-22</t>
        </is>
      </c>
      <c r="B23" s="8" t="inlineStr">
        <is>
          <t>2026-10-12</t>
        </is>
      </c>
      <c r="C23" s="8" t="n">
        <v>1</v>
      </c>
      <c r="D23" s="10" t="inlineStr"/>
      <c r="E23" s="10" t="inlineStr">
        <is>
          <t>New</t>
        </is>
      </c>
      <c r="F23" s="8" t="n">
        <v>55</v>
      </c>
      <c r="G23" s="8">
        <f>IF(F23="","",IF(F23&gt;=80,"A — send today",IF(F23&gt;=60,"B — worth a touch",IF(F23&gt;=40,"C — hold","D — reject"))))</f>
        <v/>
      </c>
      <c r="H23" s="8" t="inlineStr">
        <is>
          <t>Air Bros Air Conditioning &amp; Electrical</t>
        </is>
      </c>
      <c r="I23" s="8" t="inlineStr">
        <is>
          <t>Ricky</t>
        </is>
      </c>
      <c r="J23" s="8" t="inlineStr">
        <is>
          <t>Orta</t>
        </is>
      </c>
      <c r="K23" s="8" t="inlineStr">
        <is>
          <t>Owner / President</t>
        </is>
      </c>
      <c r="L23" s="8" t="inlineStr">
        <is>
          <t>Not found</t>
        </is>
      </c>
      <c r="M23" s="8" t="inlineStr">
        <is>
          <t>None found</t>
        </is>
      </c>
      <c r="N23" s="8" t="inlineStr">
        <is>
          <t>Not found</t>
        </is>
      </c>
      <c r="O23" s="8" t="inlineStr">
        <is>
          <t>Not found (only the company line and call-tracking variants are published; no cell or 'call me' line anywhere)</t>
        </is>
      </c>
      <c r="P23" s="8" t="inlineStr">
        <is>
          <t>+1 727-217-6148 (site "direct" number). Tracking variants seen: +1 727-217-6142 (GMB), +1 813-758-4044 (Podium/BBB) - dial 6148 so the call is not attributed to a paid channel.</t>
        </is>
      </c>
      <c r="Q23" s="8" t="inlineStr">
        <is>
          <t>HVAC (residential AC/heating repair, install, maintenance) + licensed electrical</t>
        </is>
      </c>
      <c r="R23" s="8" t="inlineStr">
        <is>
          <t>core</t>
        </is>
      </c>
      <c r="S23" s="8" t="inlineStr">
        <is>
          <t>St. Petersburg (HQ); second office in Seminole</t>
        </is>
      </c>
      <c r="T23" s="8" t="inlineStr">
        <is>
          <t>FL</t>
        </is>
      </c>
      <c r="U23" s="8" t="inlineStr">
        <is>
          <t>Hurricane season runs through Nov 30 and the site is actively pushing its 2026 storm-prep checklist while the company posts on LinkedIn every couple of weeks; with reputation their stated #1 and 1,235 reviews at 5.0, every unanswered night call is both a lost paid lead and a 1-star risk.</t>
        </is>
      </c>
      <c r="V23" s="8" t="inlineStr">
        <is>
          <t>Growth-Minded Operator (secondary: Tech-Forward Early Adopter; family-legacy undertone)</t>
        </is>
      </c>
      <c r="W23" s="8" t="inlineStr">
        <is>
          <t>Voice AI live demo line built from theairbros.com, positioned strictly as the after-hours/overflow layer on top of LeadsNearby's chat/SMS and call tracking (books the emergency, texts back missed calls); hold the GEO audit until the 7-question check is actually run, since they already track an 'OpenAI ads' source.</t>
        </is>
      </c>
      <c r="X23" s="8" t="inlineStr">
        <is>
          <t>Recover (per Chosen's HVAC matrix). Practical note: because LeadsNearby already supplies the site, chat/SMS and call tracking, the cleanest first yes may be the a-la-carte voice agent as the after-hours layer, then expand; no prices in any outreach.</t>
        </is>
      </c>
      <c r="Y23" s="8" t="inlineStr">
        <is>
          <t>Air Bros at 2 a.m. - who picks up?</t>
        </is>
      </c>
      <c r="Z23" s="8" t="inlineStr">
        <is>
          <t>Ricky, your About page says you first listed Air Bros as 24/7 on Google back when it was you, a pickup truck and the night calls - thirteen trucks later the site still promises Monday-Sunday, 24 hours, and I wanted to ask who picks those calls up now.</t>
        </is>
      </c>
      <c r="AA23" s="8" t="inlineStr">
        <is>
          <t>Ricky, you have eleven tracked phone numbers feeding one CSR and a 24-hour promise on every page, so we built a demo line trained on theairbros.com that answers the way Danielle would, qualifies the caller and books the emergency - you can call it and hear it before you spend a dollar. It only takes the calls that already ring out or hit voicemail after hours; go-live is one call-forwarding rule and rollback is one dial code, and it sits beside what LeadsNearby and Podium already run, not in place of them. If it holds up, grab 20 minutes with Sebastian on a Game Plan Call to see how it would book into your current setup.</t>
        </is>
      </c>
      <c r="AB23" s="8" t="inlineStr">
        <is>
          <t>"LeadsNearby and our chat/text widget already cover this." Answer: they cover the website and the texting; none of it picks up a ringing phone at 11 p.m. - this is the after-hours layer on top, and the demo number proves it in two minutes with nothing to change on their end.</t>
        </is>
      </c>
      <c r="AC23" s="8" t="inlineStr">
        <is>
          <t>Hi Ricky, it's Sam with Eat 4 Life Marketing - straight up, this is a cold call. I read your About page: you first listed Air Bros as 24/7 on Google back when it was you, a pickup truck and the night calls. Thirteen trucks later the site still promises Monday through Sunday, 24 hours, and the team page shows one CSR. After-hours calls that ring out or hit voicemail go to the next name on Google, so we build a demo line trained on your own website that answers those calls, qualifies the homeowner and books the emergency - you can call it and hear it before you ever pay a dollar. Can I take twenty seconds to tell you how it works?</t>
        </is>
      </c>
      <c r="AD23" s="8" t="inlineStr">
        <is>
          <t>Tue-Thu 7:30-8:30 AM ET, before the morning dispatch: the line is listed 24 hours but the site shows a single CSR (Danielle) and a GM (Bailey) running a 13-truck board, so the office is reachable and least slammed before crews roll. Backup window Tue-Thu 1:30-3:00 PM ET once installs are placed. Avoid Monday mornings (weekend emergency backlog) and Friday afternoons. No review evidence that Ricky answers the office line himself - expect Danielle, ask for Ricky by first name. Also make one test dial after 9 PM ET to learn who (or what) actually picks up; that answer is the hook.</t>
        </is>
      </c>
      <c r="AE23" s="8" t="inlineStr">
        <is>
          <t>Site (every page footer): "Monday - Sunday 24 Hours". Google Business Profile (ServiceAgent mirror): "Open 24 hours" Mon-Sun. BBB lists no hours. Office-staff reality: one CSR (Danielle) and GM (Bailey) - assume the live office day is roughly 7:30 AM-5:00 PM ET; who covers the line after that is unverified.</t>
        </is>
      </c>
      <c r="AF23" s="8" t="inlineStr">
        <is>
          <t>ET</t>
        </is>
      </c>
      <c r="AG23" s="8" t="inlineStr">
        <is>
          <t>Dial 727-217-6148 (site "direct" line) - 727-217-6142 is the GBP tracking number and 813-758-4044 is the Podium/BBB line, so 6148 keeps the call off a paid-channel report. Likely first voice: Danielle, CSR (first name only on theairbros.com/profiles/danielle/, no bio). Gate/champion above her: Bailey McCormick, General Manager (full name on BBB and LinkedIn; only employee shown on the LinkedIn company page). Owner: ask for "Ricky" - he introduces himself that way; "Ricardo" flags you as a stranger. Griffin Kistler (electrician / license holder on BBB) is not a decision gate. No office manager, dispatcher, answering service, call center or owner cell is published anywhere; the site's "Book Online" is a LaunchSMS form, not a scheduler. If Danielle screens, keep it concrete: "It's about the 24-hour line on the website - Ricky's About page; I just need twenty seconds with him or Bailey." If no owner access, run the pitch with Bailey (he runs ops; voice AI as after-hours layer beside LeadsNearby/Podium, never a website or chat replacement). No public email, so ask #2 (email for the free audit) must be captured on the call; written fallbacks are the Facebook page (facebook.com/AirBrosHVAC) and the LinkedIn company page. After-hours test dial to 6148 recommended before pitching.</t>
        </is>
      </c>
      <c r="AH23" s="8" t="inlineStr">
        <is>
          <t>His own About page: "I started listing my business on Google as 24/7 trying to drum up some sort of business in this area. And you know, mostly I would just get the calls on nights, weekends, when someone really needed an emergency... I answered the phones, I did the billing, the sales, the installs, the service, really a one-man band" (https://theairbros.com/about-ricky/) - set against the site still promising "Monday - Sunday 24 Hours" with 13 trucks and one CSR on the team page.</t>
        </is>
      </c>
      <c r="AI23" s="8" t="inlineStr">
        <is>
          <t>(1) 24-hour promise with no named coverage: "Monday - Sunday 24 Hours" and "24/7 Emergency HVAC Repair" on every page, one CSR (Danielle) on a 13-truck team, no answering service or dispatcher listed (https://theairbros.com/, /profiles/). (2) Owner's own missed-call history: "I answered the phones, I did the billing, the sales, the installs, the service" and "mostly I would just get the calls on nights, weekends, when someone really needed an emergency" (https://theairbros.com/about-ricky/). (3) Eleven paid/tracked phone sources funnel into that same front desk - every after-hours ring-out is a paid lead lost. (4) Reputation is the stated top priority ("maintaining our five star reputation, which is the most important thing to me") - at 1,235 reviews, one unanswered 2 a.m. call is a 1-star risk. (5) No published email anywhere - form or phone only. Nulls: no responsiveness complaints found (reviews not readable), 0 BBB complaints, no CSR/dispatcher job post on the careers page.</t>
        </is>
      </c>
      <c r="AJ23" s="8" t="inlineStr">
        <is>
          <t>No dated trigger within 60 days found. Soft/seasonal: LinkedIn company posts 2 and 3 weeks ago pushing annual maintenance contracts and HVAC/electrical licensing; Florida hurricane season runs through Nov 30 and the site is promoting a "2026 Hurricane Season HVAC &amp; Electrical Checklist"; post-Helene flood-rebuild work referenced in a LinkedIn post. Older: site rebuilt ~March 2025 (homepage WebPage datePublished 2025-03-01; Wayback shows a 2023 snapshot only); BBB founding record 2020-05-13; careers page always open ("Position of Interest"). Nulls: no new location, no ownership change, no CSR/dispatcher posting on site; Indeed/ZipRecruiter not checkable this run.</t>
        </is>
      </c>
      <c r="AK23" s="8" t="inlineStr">
        <is>
          <t>Confidence high - 5 signals across 3 source categories: (1) paid acquisition across many channels - page-source call-tracking map assigns dedicated numbers to 'ppc' (x2), 'gls' (Google Local Services), 'fblads', 'Bing Ads', 'youtube' and 'OpenAI ads' (https://theairbros.com/ view-source); (2) review machine - 1,235 Google reviews at 5.0 plus a Podium-tagged tracking number and BBB phone (813) 758-4044 (https://serviceagent.ai/... ; https://www.bbb.org/...90410298); (3) fleet/footprint growth - "we're at 13 trucks now", second office in Seminole, 13 team profiles, careers page with "Position of Interest" form (https://theairbros.com/about-ricky/, /profiles/, /careers/); (4) current marketing activity - LinkedIn company posts 2 weeks, 3 weeks, 1 month ago promoting maintenance contracts and dual licensing (https://www.linkedin.com/company/air-bros-ac-electrical); (5) modern stack - LaunchSMS chat/text widget, Contractor Commerce instant quote + filter shop, Synchrony financing, GTM + Meta pixel, copyright 2026, site rebuilt ~Mar 2025. No negatives observed (no hostile replies readable, no anti-marketing copy, no 'no solicitation' notice). Owner's own forward-looking line: "excited to keep going."</t>
        </is>
      </c>
      <c r="AL23" s="8" t="inlineStr">
        <is>
          <t>Self-stated on https://theairbros.com/about-ricky/: second-generation HVAC - "My dad was an HVAC owner as well. I started off with him as a five year old in the garage" cutting duct board nights and weekends; trade school straight out of high school; hired by a St. Pete commercial HVAC company "just as a regular filter changer", worked up to service technician and service manager; at ~22 started a residential side business with his father, working 9-5 commercial then installs "till all hours of the night" out of a pickup; wife (a nurse at the time) ran equipment to job sites; moved family to Shore Acres, St. Pete "about 10 years ago" to go full time; father retired, brother joined and the two of them named it "Air Bros" between service calls "about five years ago"; grew from "just me and a pickup truck" to "13 trucks". No military service mentioned. Legal anchor: AIR BROS INC, Florida Domestic For Profit, P20000035191, Active, registered agent Ricardo A Orta at 1579 Delaware Ave NE (OpenCorporates; incorporation date and officers behind login; Sunbiz returned 403). BBB principals: Ricardo Orta (President), Bailey McCormick (General Manager), Griffin Kistler (License Holder). Licenses on site: CAC1820499, EC13015085 (DBPR lookup not completable - form-only).</t>
        </is>
      </c>
      <c r="AM23" s="8" t="inlineStr">
        <is>
          <t>Tone: warm_personal, plainspoken first person, long conversational sentences ("Hey guys, this is Ricky..."). Brags about: the five-star reputation ("maintaining our five star reputation, which is the most important thing to me"), growth ("we're at 13 trucks now"), starting from the bottom ("started straight from the bottom... as a filter changer"), dual HVAC + electrical licensing (recent LinkedIn posts and a blog post on the Pinellas County risk of unlicensed electrical work). Brand voice: "TRUST THE BROS YOU KNOW!", "Contact the Bros You Know Today!", "Family Owned / Locally Grown", "SAME DAY SERVICE - 100% GUARANTEED". Community: "We host events, we host parties, we do block parties" in Shore Acres; advertising partner in Stroll Snell Isle neighborhood magazine (logo listed as "Air Bros Air Conditioning &amp; Heating Inc."). Closes his bio with "I'm really proud of that and excited to keep going." Review replies: not readable this run. Podcasts/interviews/awards: none found.</t>
        </is>
      </c>
      <c r="AN23" s="8" t="inlineStr">
        <is>
          <t>Owner-operator</t>
        </is>
      </c>
      <c r="AO23" s="8" t="inlineStr">
        <is>
          <t>Not found (web search budget exhausted before a personal-profile X-ray could run). Company page: https://www.linkedin.com/company/air-bros-ac-electrical (12 followers, posting every 1-3 weeks; only named employee shown is Bailey McCormick)</t>
        </is>
      </c>
      <c r="AP23" s="8" t="inlineStr">
        <is>
          <t>All company accounts, no personal handle found: Facebook https://www.facebook.com/AirBrosHVAC (login wall, not read); Instagram https://www.instagram.com/theairbros/ (HTTP 429, not read); TikTok https://www.tiktok.com/@airbrosinc (display 'airbrosinc', ~20 followers / 259 likes, bio "Personally Providing the Tampa Bay Area with exceptional service since 2007."); YouTube https://www.youtube.com/@airbrosinc (channel titled "Air Bros, Inc."); LinkedIn company page above. Blog author page https://theairbros.com/author/ricky-o/ ("Ricky Orta, Author").</t>
        </is>
      </c>
      <c r="AQ23" s="8" t="inlineStr">
        <is>
          <t>https://theairbros.com/</t>
        </is>
      </c>
      <c r="AR23" s="8" t="inlineStr">
        <is>
          <t>Not found (no mailto or @theairbros.com address on home, contact-us, about, careers, financing pages, BBB, or LinkedIn; contact is a Gravity Forms/LaunchSMS form plus phone)</t>
        </is>
      </c>
      <c r="AS23" s="8" t="inlineStr">
        <is>
          <t>1579 Delaware Ave NE, St. Petersburg, FL 33703 (HQ, matches OpenCorporates registered address); 7777 131st St N, Suite 15-16, Seminole, FL 33776</t>
        </is>
      </c>
      <c r="AT23" s="8" t="inlineStr">
        <is>
          <t>33703 (HQ); 33776 (Seminole)</t>
        </is>
      </c>
      <c r="AU23" s="8" t="inlineStr">
        <is>
          <t>St. Petersburg, Seminole, Pinellas Park, Largo, the beaches (St. Pete Beach, Treasure Island), Clearwater and Tampa (per site service-area copy and city-targeted blog posts)</t>
        </is>
      </c>
      <c r="AV23" s="8" t="inlineStr">
        <is>
          <t>Not found (Maps not fetchable this run; GBP data mirrored at https://serviceagent.ai/directory/florida/st-petersburg/hvac/air-bros-air-conditioning-electrical/)</t>
        </is>
      </c>
      <c r="AW23" s="8" t="inlineStr">
        <is>
          <t>5.0</t>
        </is>
      </c>
      <c r="AX23" s="8" t="inlineStr">
        <is>
          <t>1,235 Google reviews (ServiceAgent mirror of GBP, checked 2026-10-12); site hero claims "1000+ Five-Star Reviews"; BBB 0 reviews, 0 complaints in 3 years</t>
        </is>
      </c>
      <c r="AY23" s="8" t="inlineStr">
        <is>
          <t>CONFLICT - do not quote a 'since' year: LinkedIn/TikTok tagline "Personally Providing the Tampa Bay Area with exceptional service since 2007"; LinkedIn 'Founded 2018'; BBB structured data founding 2020-05-13; FL corp number P20000035191 (2020 series). Owner's About page: moved to St. Pete "about 10 years ago" to go full time, adopted the Air Bros name "about five years ago". Hypothesis: father-son side business from ~2007, full-time ~2016, incorporated as AIR BROS INC in 2020.</t>
        </is>
      </c>
      <c r="AZ23" s="8" t="inlineStr">
        <is>
          <t>13 trucks (owner's own words); 13 named team profiles on site (1 General Manager, 1 CSR, 11 technicians/installers/electrician); LinkedIn company size 11-50. Above the HVAC sweet spot ceiling (2-12 trucks) - expect a more sophisticated buyer.</t>
        </is>
      </c>
      <c r="BA23" s="8" t="inlineStr">
        <is>
          <t>2 (St. Petersburg HQ + Seminole office); independently owned, no franchise language</t>
        </is>
      </c>
      <c r="BB23" s="8" t="inlineStr">
        <is>
          <t>AC repair, AC installation, ductless AC, heating repair/installation, heat pumps, HVAC maintenance, Air Bros Premium Membership (maintenance plan), electrical, EV charging installation, whole-home surge protection, panel upgrade/replacement, generator installation, duct cleaning, indoor air quality, filter e-commerce shop; Synchrony financing</t>
        </is>
      </c>
      <c r="BC23" s="8" t="inlineStr">
        <is>
          <t>advanced - LaunchSMS chat/text widget + SMS-consent automation language, Contractor Commerce instant-quote and e-commerce filter shop, Podium, dynamic call-tracking across 11 numbers, Yoast LocalBusiness JSON-LD, Synchrony financing, GTM, Meta pixel. No ServiceTitan/Housecall Pro/Jobber scheduler script detected.</t>
        </is>
      </c>
      <c r="BD23" s="8" t="inlineStr">
        <is>
          <t>agency_managed - footer "HVAC Marketing and SEO by LeadsNearby" (home-services vertical agency), LeadsNearby CMS author account 'lnbcsms' publishing city-targeted blog posts, per-channel call-tracking numbers, GTM + Meta pixel, LaunchSMS (a LeadsNearby product) for chat/SMS.</t>
        </is>
      </c>
      <c r="BE23" s="8" t="inlineStr">
        <is>
          <t>scaling - from one pickup to 13 trucks, second office (Seminole), LinkedIn 11-50 employees, careers page always-on, 1,235 reviews, posting on LinkedIn every 1-3 weeks</t>
        </is>
      </c>
      <c r="BF23" s="8" t="inlineStr">
        <is>
          <t>unknown - Google review text and owner replies were not readable this run (Maps not fetchable, Yelp 403, Facebook login wall); BBB shows 0 complaints and 0 reviews. LinkedIn posts re-share customer reviews naming techs Michael and Corbin.</t>
        </is>
      </c>
      <c r="BG23" s="8" t="inlineStr">
        <is>
          <t>Claims 24/7 with no named coverage: site header/menu "24/7 Emergency HVAC Repair in St. Pete, FL", page title "24/7 AC Repair", footer "Business Hours Monday - Sunday 24 Hours"; GBP hours (ServiceAgent mirror) "Open 24 hours" every day. No answering service, call center, on-call line, or AI receptionist is named anywhere on the site, BBB, or LinkedIn; the team page lists a single CSR (Danielle) and no dispatcher. Owner admits the 24/7 listing began as a way "to drum up some sort of business." Who actually picks up at night is unverified - Sam should make an after-hours dial before the demo pitch.</t>
        </is>
      </c>
      <c r="BH23" s="8" t="inlineStr">
        <is>
          <t>Partial. "Book Online" / "Request Service" open a LaunchSMS form modal (href javascript:void(0)), not a live scheduler; "Instant Quote" and "Shop Filters" run on Contractor Commerce (plugin.contractorcommerce.com). No ServiceTitan/Housecall Pro/Jobber booking widget in page source.</t>
        </is>
      </c>
      <c r="BI23" s="8" t="inlineStr">
        <is>
          <t>Yes - LaunchSMS chat/text widget (go.launchsms.com communication.js 'chatBT', widget-script.js, form-builder) and SMS-consent copy on forms ("agree to receive marketing, promotional, informational, and customer care text messages from The Air Bros").</t>
        </is>
      </c>
      <c r="BJ23" s="8" t="inlineStr">
        <is>
          <t>WordPress (theme 'hypercore') + NitroPack; LeadsNearby (agency credit in footer, CMS author 'lnbcsms'); LaunchSMS chat/SMS; Contractor Commerce (instant quote + filter shop); Gravity Forms; Google Tag Manager; Meta Pixel (id 3181584075357016); Podium (tracking source + BBB phone 813-758-4044); Synchrony financing; Yoast SEO (LocalBusiness JSON-LD, no FAQPage). Dynamic call-tracking map in page source: direct 727-217-6148; gmb 727-217-6142; gls 727-217-6141; ppc 727-217-6154 and 727-378-2519; youtube 727-217-6185; fblads 727-275-9276; Bing Ads 727-201-1218; OpenAI ads 727-201-0576; podium 813-758-4044; 'ma' 727-275-9378.</t>
        </is>
      </c>
      <c r="BK23" s="8" t="inlineStr">
        <is>
          <t>Not directly observed (Google Ads Transparency Center, Meta Ad Library and the LSA unit could not be checked this run). Strong indirect evidence: the site's call-tracking map reserves numbers for 'ppc', 'gls' (Google Local Services), 'fblads', 'Bing Ads', 'youtube' and 'OpenAI ads' - they are measuring calls from paid channels. Stroll Snell Isle print/digital advertising partner.</t>
        </is>
      </c>
      <c r="BL23" s="8" t="inlineStr">
        <is>
          <t>Not checked - web search budget was exhausted this run, so no ChatGPT/Perplexity/Gemini money-question check was possible (D4 scored 0 NO EVIDENCE). Flag: the 'OpenAI ads' call-tracking source suggests they or LeadsNearby are already buying placement inside ChatGPT, so run the full 7-question audit before claiming they are invisible in AI answers.</t>
        </is>
      </c>
      <c r="BM23" s="8" t="inlineStr">
        <is>
          <t>PASS - Not a chain/franchise (independent, 2 locations, owner named, no franchise or 'part of' language; not in CHAIN_HINTS). Website live (HTTP 200, copyright 2026). Operating (LinkedIn posts within 2 weeks, FL entity Active per OpenCorporates). Inbound channel exists (phone + form + chat). Not a competitor category. No competing AI receptionist named anywhere; not already automated on both fronts. Suppression.csv: no match on name, domain, phone or city. GHL 'E4L Services' dedupe not run from this session.</t>
        </is>
      </c>
      <c r="BN23" s="8" t="inlineStr">
        <is>
          <t>D1 Decision-maker reach: 8/20 - full name + role from two independent sources (site: "this is Ricky, owner of AirBros" + author page "Ricky Orta"; BBB principal "Ricardo Orta, President"; OpenCorporates RA "Ricardo A Orta") but no published email, no owner direct line, no owner LinkedIn found; contact is form + main line = DEMO PATH / call-first. | D2 Phone gap: 15/15 - phone-first (tel link in header beside "SAME DAY SERVICE - 100% GUARANTEED", 11 call-tracking numbers) AND cited gap: "Monday - Sunday 24 Hours" / GBP "Open 24 hours" with no answering service, call center or AI receptionist named anywhere, one CSR on the team page, inherently urgent niche. | D3 Leak evidence: 0/15 - partial logged null: BBB 0 complaints; careers page has no CSR/dispatcher role; chat widget + instant quote + request form present (no friction); Google review text, Yelp (403), Facebook (login wall), Indeed not readable this run. | D4 AI search gap: 0/10 - NO EVIDENCE: no platform could be checked (search budget exhausted); site carries LocalBusiness JSON-LD, no FAQPage. | D5 ICP/ability to pay: 15/15 - independent, 2 locations, named owner, core HVAC niche, 5 proxies: 1,235 reviews at 5.0; 13 trucks/13 staff profiles; Synchrony financing + $6-12k install ticket; incorporated 2020 (5+ yrs, BBB 2020-05-13); 3+ city service area with 24/7 claim. Note: above sweet-spot size. | D6 Buying signals: 11/15 - paid-media signal (dynamic number swap for ppc/gls/fblads/Bing/youtube/OpenAI ads in page source) plus other spend groups (LeadsNearby agency credit, GTM, Meta pixel, Podium); no dated trigger within 60 days; Ad Library/Transparency Center not checkable. | D7 Attitude/incumbent: 6/10 - net 3+ positives (modern 2025 rebuild, copyright 2026; advanced tech stack; LinkedIn posts within 60 days; growth posture) with no negatives, capped at 6 because LeadsNearby is a bundled vertical agency supplying site + call tracking + chat/SMS = incumbent conflict (pitch voice as an after-hours layer; GEO wedge only after audit). | TOTAL 55/100 = QUALIFIED (low edge), route call-first/DEMO PATH. TRUSTED with caveats: 6 of 7 dimensions carry evidence (D4 none), D1 positive, D2 direct (quoted hours string), D5 cited; GHL 'E4L Services' dedupe NOT run from this session (suppression.csv clear) - Rozel to run ghl-contacts.js before load.</t>
        </is>
      </c>
      <c r="BO23" s="8" t="inlineStr">
        <is>
          <t>https://theairbros.com/about-ricky/, https://www.bbb.org/us/fl/saint-petersburg/profile/air-conditioning-contractor/air-bros-air-conditioning-electric-0653-90410298, https://theairbros.com/, https://theairbros.com/author/ricky-o/, https://opencorporates.com/companies/us_fl/P20000035191, https://theairbros.com/profiles/, https://www.linkedin.com/company/air-bros-ac-electrical, https://serviceagent.ai/directory/florida/st-petersburg/hvac/air-bros-air-conditioning-electrical/, https://theairbros.com/contact-us/, https://theairbros.com/careers/, https://theairbros.com/financing/, https://theairbros.com/profiles/danielle/, https://theairbros.com/profiles/bailey/, https://theairbros.com/hurricane-season-hvac-electrical-prep-checklist/, https://www.tiktok.com/@airbrosinc, https://www.youtube.com/@airbrosinc, https://www.strollmag.com/locations/snell-isle-fl/, https://www.facebook.com/AirBrosHVAC</t>
        </is>
      </c>
      <c r="BP23" s="8" t="inlineStr">
        <is>
          <t>Medium</t>
        </is>
      </c>
      <c r="BQ23" s="8" t="inlineStr">
        <is>
          <t>Title detail: Owner / President ("Hey guys, this is Ricky, owner of AirBros Air Conditioning and Electrical" on the site; BBB lists "Ricardo Orta, President"; OpenCorporates registered agent "RICARDO A ORTA"). Legal entity note: legal: AIR BROS INC; BBB: Air Bros Air Conditioning &amp; Electric. Gatekeeper/champion: Bailey McCormick, General Manager (BBB + site profile) - ask for "Ricky" (he introduces himself that way; legal name Ricardo A. Orta). Second named decision-maker on BBB: Griffin Kistler, License Holder (electrician). An unnamed brother works in the business. Legal entity AIR BROS INC, FL P20000035191, Active, registered agent Ricardo A Orta at the Delaware Ave address (OpenCorporates; Sunbiz returned 403, DBPR lookup is form-only - licenses CAC1820499 / EC13015085 not verified). No email anywhere -&gt; call-first / DEMO PATH; a written touch could go via the Facebook page or LinkedIn company page. Call the direct number 727-217-6148 (6142 is the GMB tracking line, 813-758-4044 is Podium/BBB) so the call is not credited to a paid channel. Incumbent: LeadsNearby supplies site, chat/SMS (LaunchSMS) and call tracking - never pitch a website or chat widget; voice AI is a layer, GEO only after a real audit (they track an 'OpenAI ads' source, so they are already AI-curious and may be running ChatGPT ads). Size is above the HVAC sweet spot (13 trucks, LinkedIn 11-50) - expect a numbers-first, booking-rate conversation; offer to book into their existing software. Founding year CONFLICTS (2007 / 2018 / 2020) - do not use a "since" year or anniversary opener. Community hooks: Shore Acres block parties, Stroll Snell Isle advertising partner. Best time to call: weekday mornings Eastern, before the dispatch board fills. Compliance: no cell numbers found, SMS-consent language on their forms, nothing sensitive recorded. Not checked this run (log for refresh): Google review replies, Yelp (403), Instagram (429), Facebook (login wall), Indeed/ZipRecruiter, AI spot-check, Meta Ad Library / Ads Transparency; GHL dedupe pending.</t>
        </is>
      </c>
      <c r="BR23" s="10" t="inlineStr"/>
      <c r="BS23" s="10" t="inlineStr"/>
      <c r="BT23" s="10" t="inlineStr"/>
    </row>
    <row r="24" ht="120" customHeight="1">
      <c r="A24" s="8" t="inlineStr">
        <is>
          <t>20261012-23</t>
        </is>
      </c>
      <c r="B24" s="8" t="inlineStr">
        <is>
          <t>2026-10-12</t>
        </is>
      </c>
      <c r="C24" s="8" t="n">
        <v>1</v>
      </c>
      <c r="D24" s="10" t="inlineStr"/>
      <c r="E24" s="10" t="inlineStr">
        <is>
          <t>New</t>
        </is>
      </c>
      <c r="F24" s="8" t="n">
        <v>55</v>
      </c>
      <c r="G24" s="8">
        <f>IF(F24="","",IF(F24&gt;=80,"A — send today",IF(F24&gt;=60,"B — worth a touch",IF(F24&gt;=40,"C — hold","D — reject"))))</f>
        <v/>
      </c>
      <c r="H24" s="8" t="inlineStr">
        <is>
          <t>The Electrician</t>
        </is>
      </c>
      <c r="I24" s="8" t="inlineStr">
        <is>
          <t>Howard</t>
        </is>
      </c>
      <c r="J24" s="8" t="inlineStr">
        <is>
          <t>Manne</t>
        </is>
      </c>
      <c r="K24" s="8" t="inlineStr">
        <is>
          <t>Founder</t>
        </is>
      </c>
      <c r="L24" s="8" t="inlineStr">
        <is>
          <t>info@electricianatl.com</t>
        </is>
      </c>
      <c r="M24" s="8" t="inlineStr">
        <is>
          <t>Generic (info@/office@)</t>
        </is>
      </c>
      <c r="N24" s="8" t="inlineStr">
        <is>
          <t>Confirmed</t>
        </is>
      </c>
      <c r="O24" s="8" t="inlineStr">
        <is>
          <t>Not found</t>
        </is>
      </c>
      <c r="P24" s="8" t="inlineStr">
        <is>
          <t>+1 404-256-0169</t>
        </is>
      </c>
      <c r="Q24" s="8" t="inlineStr">
        <is>
          <t>Electrical</t>
        </is>
      </c>
      <c r="R24" s="8" t="inlineStr">
        <is>
          <t>core</t>
        </is>
      </c>
      <c r="S24" s="8" t="inlineStr">
        <is>
          <t>Atlanta (Sandy Springs)</t>
        </is>
      </c>
      <c r="T24" s="8" t="inlineStr">
        <is>
          <t>GA</t>
        </is>
      </c>
      <c r="U24" s="8" t="inlineStr">
        <is>
          <t>The 2026 Nextdoor Fave badge is up, panel/EV/generator season is heading into winter, and a 22-year father-son shop with 441+ five-star reviews, no after-hours coverage and no booking/chat/text is the cleanest Recover-tier voice-demo fit in this Atlanta electrical batch.</t>
        </is>
      </c>
      <c r="V24" s="8" t="inlineStr">
        <is>
          <t>Family-Legacy Pride Brand (medium confidence; possible secondary: Skeptical Old-School Traditionalist, thin evidence)</t>
        </is>
      </c>
      <c r="W24" s="8" t="inlineStr">
        <is>
          <t>Voice AI live demo built from theelectricianatlanta.com — after-hours (after 6 pm, weekends) and on-the-job call answering with safety triage and estimate booking, plus missed-call text-back. Door-opener for the generic mailbox: Revenue Leak Scorecard link in the email; demo number via Sam's call. GEO audit only after a spot-check lifts D4.</t>
        </is>
      </c>
      <c r="X24" s="8" t="inlineStr">
        <is>
          <t>Recover</t>
        </is>
      </c>
      <c r="Y24" s="8" t="inlineStr">
        <is>
          <t>Who picks up for The Electrician after 6pm?</t>
        </is>
      </c>
      <c r="Z24" s="8" t="inlineStr">
        <is>
          <t>Congrats on the sixth straight Nextdoor Neighborhood Fave — twenty-two years in, a father-and-son shop whose neighbors still say "Howard lives in the neighborhood" is a rare thing.</t>
        </is>
      </c>
      <c r="AA24" s="8" t="inlineStr">
        <is>
          <t>Howard, Warren — your Google hours show the shop closed after 6 and on weekends, yet your site advertises emergency repairs and your own Nextdoor post thanked the crew for a weekend spent restoring power after the storm, so those calls are clearly coming in. We built a demo receptionist trained on your own website that answers the after-hours and on-the-ladder calls, asks the safety questions (sparking, burning smell, no power), and books the estimate; I can text you the number right now and you can try to break it before anyone pays a dollar. Going live is one call-forwarding rule for missed calls, you keep answering everything you can, and one dial code turns it off.</t>
        </is>
      </c>
      <c r="AB24" s="8" t="inlineStr">
        <is>
          <t>"We've run on referrals and Nextdoor for 22 years; we don't need a robot answering for us." Answer: it only catches the calls that already go to voicemail (after 6, weekends, both of you on a job), it is trained on your own story so callers still reach The Electrician, and you can hear it on the demo line before deciding anything.</t>
        </is>
      </c>
      <c r="AC24" s="8" t="inlineStr">
        <is>
          <t>Howard? Hi, this is Sam with Eat 4 Life Marketing. Full disclosure, this is a cold call, so I'll be quick. I saw The Electrician just picked up its sixth straight Nextdoor Neighborhood Fave, and your own post thanked the crew for spending a weekend getting folks' power back on after the storm. Here's why I'm calling: your Google listing shows the phone closed after 6 and on weekends, and that's exactly when a homeowner with a sparking outlet calls the next name on Google. We build a receptionist trained on your own website that picks up those calls, asks the safety questions, and books the estimate, and you can call the demo line and try to break it before anyone pays a dollar. Can I take 20 seconds to tell you how it works, or is there a better time to catch you or Warren?</t>
        </is>
      </c>
      <c r="AD24" s="8" t="inlineStr">
        <is>
          <t>Tue-Thu 8:00-8:45 AM ET, right at open before the father-and-son crew rolls to the first job; fallback Tue-Thu 4:30-5:45 PM ET as they wrap. Reason: no office staff is named anywhere, LinkedIn says 2-10 people, and site testimonials have Howard himself showing up to jobs, so midday calls to the office line likely ring from a ladder or go to voicemail.</t>
        </is>
      </c>
      <c r="AE24" s="8" t="inlineStr">
        <is>
          <t>Mon-Fri 8:00 AM-6:00 PM; Sat-Sun Closed (Nextdoor business page and ServiceAgent directory citing Google Business Profile; the website lists no hours)</t>
        </is>
      </c>
      <c r="AF24" s="8" t="inlineStr">
        <is>
          <t>ET</t>
        </is>
      </c>
      <c r="AG24" s="8" t="inlineStr">
        <is>
          <t>No office manager, dispatcher, receptionist or answering service is named anywhere (site, Contact page, Nextdoor, LinkedIn, page source), and no owner cell is published; the only number is the office line (404) 256-0169 and the only email is info@electricianatl.com. With 2-10 staff and testimonials saying 'Howard arrived' personally, expect Howard or Warren to answer directly, or voicemail while they're on a job. Ask for Howard first; Warren (son, the EV/LED/smart-home guy) is the likely champion and a fine second. If voicemail, leave a 10-second message naming the Nextdoor Fave and the after-6 question, then try the 4:30-5:45 PM window. Watch-out: BBB and GA SOS list a 'Phillip Wills' as owner of a separately registered 'The Electrician, L.L.C.' (Cumming) on this same phone number; do not mention BBB or Wills, but if a Phillip answers and says he's an owner, treat him as a decision-maker and continue. No chat/text widget on the site, so no texting fallback to the office line.</t>
        </is>
      </c>
      <c r="AH24" s="8" t="inlineStr">
        <is>
          <t>The Nextdoor Neighborhood Fave 2026 badge, the sixth straight year (2021-2026), for a father-and-son shop founded 2004: https://nextdoor.com/pages/the-electrician-atlanta-ga/ . Backup: their own 30 Sep 2024 Nextdoor post thanking the team for a weekend restoring power after the storm (shows they work after hours, while GBP hours say closed weekends).</t>
        </is>
      </c>
      <c r="AI24" s="8" t="inlineStr">
        <is>
          <t>(1) Contact friction: no online booking, no chat/text, quote form with no response-time promise (page source verified). (2) Coverage gap: hours Mon-Fri 8-6, closed Sat-Sun, while the site advertises "Emergency &amp; residential services" and "emergency repair"; their own post shows weekend storm work. (3) Site maintenance gaps: homepage counters show placeholders "0 K+ Happy Clients", "0 + Referrals", "0 + Years Experience". (4) Two mail domains (info@electricianatl.com vs theelectricianatlanta.com) and a /careers URL that 404s. (5) Dormant social: last Nextdoor business post 30 Sep 2024; no owner replies visible. NULL logged: no responsiveness complaints found; Nextdoor recs say "Responsive, fair price!" and "quick responses"; Google review text, Yelp and Indeed were not accessible this run, so reachability complaints and front-office job posts are unverified, not absent.</t>
        </is>
      </c>
      <c r="AJ24" s="8" t="inlineStr">
        <is>
          <t>Nextdoor Neighborhood Fave 2026 badge now showing (sixth consecutive year; announcement date not displayed on the page). Homepage last modified 2026-01-05 (Yoast dateModified). GA annual registration filed 11 Jan 2025. Warren Manne's entity The Electrician Atlanta LLC listed from 11 Feb 2022 (possible next-generation transition, not an ownership-change claim). Seasonal: heading into generator/holiday-lighting season and continued EV-charger demand. Domain theelectricianatlanta.com expiration 2026-10-17 (likely auto-renews; informational). No hiring posts found (Indeed blocked; no careers page). No storm event in the last 60 days verified.</t>
        </is>
      </c>
      <c r="AK24" s="8" t="inlineStr">
        <is>
          <t>(1) Website About: "As a family-owned and operated business, Howard Manne established The Electrician in 2004 and was joined by his son, Warren, in 2010" and "servicing your home or business as if it were our own" (https://theelectricianatlanta.com/about-us/, seen 2026-10-12). (2) Footer tagline "Family Owned &amp; Operated For All Your Electrical Needs" on every page (https://theelectricianatlanta.com/). (3) Community footprint: Nextdoor Neighborhood Fave 2021, 2022, 2023, 2024, 2025 plus 2026 badge, "Neighborhood Favorite in 311 neighborhoods"; homepage testimonials are Nextdoor neighbors ("Howard Lives in 'the neighborhood'") (https://nextdoor.com/pages/the-electrician-atlanta-ga/). (4) Succession cue: son Warren joined 2010 and is the one training on EV/LED/smart-home; Warren Manne formed his own GA entity "The Electrician Atlanta LLC" in Feb 2022 (https://opencorporates.com/officers/663177660). (5) Old-school tells (secondary): no booking, chat, text or review tooling in page source; Nextdoor-centric social with last post Sep 2024; no owner replies visible. Contradicting signals: none hostile; no anti-AI or anti-marketing statements found.</t>
        </is>
      </c>
      <c r="AL24" s="8" t="inlineStr">
        <is>
          <t>Howard Manne: "Howard's experience in the electrical industry started in the 70's and spans over two continents. After seeing many different aspects of the electrical industry, Howard knew he wanted to focus on providing a more personal experience to his customers" (About page). Prior GA company: BELLEVUE ELECTRICAL, INC. (inc. 12 Jun 1992, now inactive) where Howard Manne is listed as CEO/CFO/Secretary/agent (OpenCorporates mirror of GA SOS). Warren Manne (son) joined 2010; "continues his education on electrical codes and technologies such as: Electric Vehicle Charging, LED lighting upgrades and retrofits, Smart Home Controls and Energy saving upgrades"; organizer/agent of The Electrician Atlanta LLC (GA #22037300, listed from 11 Feb 2022) and of INLine Electrical, LLC (inactive). "Together the father/son duo have over 60 years' experience." Family-owned and operated, 1 location, 22 years under the name.</t>
        </is>
      </c>
      <c r="AM24" s="8" t="inlineStr">
        <is>
          <t>Tone: warm, neighborly, plain, no hype. Site voice: "servicing your home or business as if it were our own"; "Family Owned &amp; Operated For All Your Electrical Needs"; priorities "safety, customer service and satisfaction." Nextdoor post 30 Sep 2024: "a BIG THANK YOU to our team who spent the weekend helping to get power restored for our customers!!" Bragging points: 441+ five-star reviews, Nextdoor Neighborhood Fave six years running (2021-2026 badges, 311 neighborhoods), "fully licensed &amp; insured", father/son 60+ years. Customers describe Howard personally: "Howard Lives in 'the neighborhood'", "Not only is he a great electrician, but he's also a very nice person", "Howard arrived at the time we agreed on and had them both fixed literally within minutes" (site testimonials sourced from Nextdoor). Marketing is Nextdoor/referral-driven; site has a "Leave a Review" link pointing to Nextdoor. No podcasts, interviews or press found (search not available this run). No owner review replies visible on Nextdoor; Google replies not observable.</t>
        </is>
      </c>
      <c r="AN24" s="8" t="inlineStr">
        <is>
          <t>Owner-operator</t>
        </is>
      </c>
      <c r="AO24" s="8" t="inlineStr">
        <is>
          <t>Not found (linkedin.com/in/howard-manne and /warren-manne returned 999; search unavailable). Company page: https://www.linkedin.com/company/the-electrician-atlanta/ (249 followers, "Self-Employed", 2-10 employees)</t>
        </is>
      </c>
      <c r="AP24" s="8" t="inlineStr">
        <is>
          <t>Company accounts only: Nextdoor https://nextdoor.com/pages/the-electrician-atlanta-ga/ (public; Neighborhood Fave 2021-2025 + 2026 badge, "Favorite in 311 neighborhoods"; last business post 30 Sep 2024); Facebook https://www.facebook.com/TheElectricianAtlanta (login wall, not read); Instagram https://www.instagram.com/theelectricianatlanta/ (429, not read). No personal owner profiles found.</t>
        </is>
      </c>
      <c r="AQ24" s="8" t="inlineStr">
        <is>
          <t>https://theelectricianatlanta.com/</t>
        </is>
      </c>
      <c r="AR24" s="8" t="inlineStr">
        <is>
          <t>info@electricianatl.com (published on every site page as mailto and on the Nextdoor page; electricianatl.com 301-redirects to theelectricianatlanta.com; MX present on Google Workspace)</t>
        </is>
      </c>
      <c r="AS24" s="8" t="inlineStr">
        <is>
          <t>20 S Battery Pl, Atlanta, GA 30342 (site footer; GA SOS registered address "20 South Battery Pl"; LinkedIn lists it as Sandy Springs)</t>
        </is>
      </c>
      <c r="AT24" s="8" t="inlineStr">
        <is>
          <t>30342</t>
        </is>
      </c>
      <c r="AU24" s="8" t="inlineStr">
        <is>
          <t>Atlanta, Sandy Springs, Dunwoody, East Cobb, Roswell, Norcross, Tucker, Alpharetta, Buckhead, Midtown, Metro Atlanta (site); meta description adds Fulton, Gwinnett, DeKalb and Cobb County</t>
        </is>
      </c>
      <c r="AV24" s="8" t="inlineStr">
        <is>
          <t>https://www.google.com/maps/search/?api=1&amp;query=The+Electrician+20+S+Battery+Pl+Atlanta+GA+30342 (Maps search link; direct place URL not captured this run)</t>
        </is>
      </c>
      <c r="AW24" s="8" t="inlineStr">
        <is>
          <t>5.0 (ServiceAgent directory only, says pulled from GBP; not verified directly on Google)</t>
        </is>
      </c>
      <c r="AX24" s="8" t="inlineStr">
        <is>
          <t>441 (ServiceAgent, approx.; Lantern 455-review page now returns 404)</t>
        </is>
      </c>
      <c r="AY24" s="8" t="inlineStr">
        <is>
          <t>Established 2004 ("Howard Manne established The Electrician in 2004", About page; LinkedIn company page "Founded 2004"; Nextdoor "Our story"). Howard's industry experience "started in the 70's" (self-stated). Domain theelectricianatlanta.com registered 2007-10-17 (RDAP). GA entity RCH ELECTRICAL, LLC. Active/Compliance, annual registration filed 11 Jan 2025 (formation date behind OpenCorporates login).</t>
        </is>
      </c>
      <c r="AZ24" s="8" t="inlineStr">
        <is>
          <t>2-10 (LinkedIn company page: "2-10 employees", "Discover all 8 employees"; Nextdoor post 30 Sep 2024 thanks "our team"; site describes a father/son core)</t>
        </is>
      </c>
      <c r="BA24" s="8" t="inlineStr">
        <is>
          <t>1 (20 S Battery Pl; same address on site, Nextdoor, LinkedIn and GA SOS record)</t>
        </is>
      </c>
      <c r="BB24" s="8" t="inlineStr">
        <is>
          <t>Residential + commercial: troubleshooting/circuit diagnostics, home inspection reports, outlets/switches/dimmers, lighting upgrades, ceiling fans, chandeliers, exterior/security lighting, main panels/subpanels/breakers/service upgrades, EV charging installation, whole-house and portable generator hook-ups, surge protection, pool/spa wiring and control panels, LED retrofits, commercial lighting controls, "emergency repair"</t>
        </is>
      </c>
      <c r="BC24" s="8" t="inlineStr">
        <is>
          <t>basic — SSL, WordPress/Elementor site (updated 2026-01-05), contact form, claimed GBP/Nextdoor/LinkedIn/Facebook/Instagram; no online booking, chat, text-us, financing or review-request tool in page source; email on Google Workspace, site mail on Microsoft 365; ai_stance: unknown (no statements found)</t>
        </is>
      </c>
      <c r="BD24" s="8" t="inlineStr">
        <is>
          <t>diy with a designer-built site — footer "Designed by Blue Light Labs" (small local shop), Site Kit/gtag only, no pixel or call tracking, Nextdoor/referral-driven, no ads observed (Sponsored/LSA/Meta checks not completed this run)</t>
        </is>
      </c>
      <c r="BE24" s="8" t="inlineStr">
        <is>
          <t>established — 22 years under the name, 441+ Google reviews, 2-10 staff, 1 location; no hiring or expansion signals found (Indeed blocked, no careers page)</t>
        </is>
      </c>
      <c r="BF24" s="8" t="inlineStr">
        <is>
          <t>unknown on Google (review text/replies not accessible this run); Nextdoor: none visible (no owner replies on the public page)</t>
        </is>
      </c>
      <c r="BG24" s="8" t="inlineStr">
        <is>
          <t>Unknown / not stated. GBP hours (via ServiceAgent, "pulled from Google Business Profile", and Nextdoor): Monday-Friday 8 AM-6 PM, Saturday Closed, Sunday Closed. Site meta description says "Emergency &amp; residential services" and copy promises "emergency repair" and arriving "in a timely manner", but no 24/7, after-hours, answering-service, voicemail or AI-receptionist language appears anywhere on the site, page source or Nextdoor page. Their own 30 Sep 2024 Nextdoor post shows the crew working a weekend after a storm, so after-hours demand exists with no stated coverage.</t>
        </is>
      </c>
      <c r="BH24" s="8" t="inlineStr">
        <is>
          <t>N — "Get a quote" popup and "Schedule a Consultation" are a plain form (Name, Email, Phone, SUBMIT) with no response-time promise; no scheduler scripts (calendly/housecall/jobber/servicetitan etc.) in page source</t>
        </is>
      </c>
      <c r="BI24" s="8" t="inlineStr">
        <is>
          <t>N — no chat, text-us or messaging widget scripts in page source (tidio/tawk/podium/birdeye/intercom/drift: 0 hits)</t>
        </is>
      </c>
      <c r="BJ24" s="8" t="inlineStr">
        <is>
          <t>WordPress 7.1.3 + Elementor 3.27.3 (Hello Elementor theme), WP Rocket 3.23, Site Kit by Google 1.159 (gtag + Google Tag Manager), Yoast schema graph (Organization/WebPage/WebSite only; no LocalBusiness or FAQPage JSON-LD); footer credit "Designed by Blue Light Labs" (bluelightlabs.com); GoDaddy registrar; email MX Google Workspace (electricianatl.com), site-domain MX Microsoft 365; no CallRail/CTM, no Meta pixel, no booking/CRM/chat/review tools; no AI receptionist or answering-service vendor. Greenfield, no incumbent agency conflict.</t>
        </is>
      </c>
      <c r="BK24" s="8" t="inlineStr">
        <is>
          <t>Not observed. Google Ads Transparency Center page for the domain loaded with no ad data visible (JS shell; inconclusive); no gclid/pixel/call-tracking in source; Meta Ad Library, Google Sponsored results and LSA badge NOT checked this run (search budget exhausted; FB login wall).</t>
        </is>
      </c>
      <c r="BL24" s="8" t="inlineStr">
        <is>
          <t>not checked — web search budget was exhausted this run, so no ChatGPT/Perplexity/Gemini money-question spot-check was possible. Named in 0 of 0 AI answers (no platform checked). Schema check done: no FAQPage or LocalBusiness JSON-LD on the site, so the AI-readable FAQ/schema pitch is open. Run one money question ("best electrician Sandy Springs GA" / "EV charger installer Atlanta") before load to lift D4 off NO EVIDENCE.</t>
        </is>
      </c>
      <c r="BM24" s="8" t="inlineStr">
        <is>
          <t>PASS. Chain/franchise: no (single location; "Family Owned &amp; Operated"; LinkedIn "Self-Employed", 2-10 employees; no franchise language). Website: live HTTP 200 on own domain. Live US business: GA entity RCH ELECTRICAL, LLC. #0419819 status "Active/Compliance", registered at 20 South Battery Pl, Atlanta 30342 (matches site/GBP), annual registration 11 Jan 2025 (OpenCorporates mirror of GA SOS); homepage modified 2026-01-05; Nextdoor 2026 Fave badge; 441+ reviews. Inbound channel: phone in header + quote form. Not a competitor/non-buyer category. No AI receptionist, answering service or GEO vendor in page source. Suppression.csv: no match on name/domain/email (only "electric" hit is TE Certified, a different company). GHL ghl-contacts.js dedupe NOT run this session. Name variance: footer "RCH Electric, LLC" vs SOS "RCH ELECTRICAL, LLC." — address match makes it the anchor. Flag: separate GA entity THE ELECTRICIAN, L.L.C. (Phillip S Wills, Cumming) and a BBB profile with the same phone — unresolved, see notes.</t>
        </is>
      </c>
      <c r="BN24" s="8" t="inlineStr">
        <is>
          <t>D1 Decision-maker reach: 8/20 — Howard Manne (founder) and Warren Manne (son) cited on About page + LinkedIn company page + Nextdoor; Warren confirmed in GA SOS mirror; but only a generic info@electricianatl.com mailbox, no personal email, no owner LinkedIn or direct line found -&gt; call-first / Sam route. | D2 Phone-coverage gap: 15/15 — phone-first ("Call Us For A Free Quote" header, tel: link, GBP Call button) AND cited gaps: hours "Monday-Friday 8 AM-6 PM, Saturday Closed, Sunday Closed" (ServiceAgent/Nextdoor) while site says "Emergency &amp; residential services"; electrical is on the inherently urgent list; no 24/7/answering-service/AI mention anywhere. | D3 Lead-response leak: 5/15 — exactly one signal type confirmed: booking/contact friction (no scheduler, no chat/text, form with no response promise, verified in source). Reviews with phone complaints, job posts, reply rate, Yelp stats and BBB complaints (0 filed) not found or not accessible; logged null. | D4 AI search visibility: 0/10 NO EVIDENCE — no AI platform could be checked this run (search budget); schema check shows no FAQPage/LocalBusiness JSON-LD. Named in 0 of 0 AI answers. | D5 ICP fit / ability to pay: 15/15 — independent, family-owned, 1 location, named owner; core niche (electrical); proxies: since 2004, 441+ Google reviews, 2-10 staff on LinkedIn, high-ticket panels/EV/generators (electrical $400-3k row; panels/EV = big tickets), 10-city service area. | D6 Buying signals: 7/15 — only (d)-type spend: footer designer credit (Blue Light Labs) + GTM/Site Kit; no pixel/call tracking; Ads Transparency showed nothing; LSA/Sponsored/Meta not checked; triggers undated (2026 Nextdoor Fave badge, Jan 2026 site update). | D7 Owner attitude: 6/10 — net 2 positives: modern maintained site (Elementor, updated 2026-01) and "Best of"-type award (Nextdoor Fave 2021-2026); no review replies observable, no tech adoption, dormant social; no negatives, no incumbent conflict (greenfield). | TOTAL 56 = QUALIFIED band (55-74), status TRUSTED with D4 marked NO EVIDENCE (6 of 7 dimensions carry evidence; D1 positive; D2 direct hours string; D5 evidenced). Note: GHL ghl-contacts.js dedupe was not run in this session; only suppression.csv was checked.</t>
        </is>
      </c>
      <c r="BO24" s="8" t="inlineStr">
        <is>
          <t>https://theelectricianatlanta.com/about-us/, https://theelectricianatlanta.com/, https://nextdoor.com/pages/the-electrician-atlanta-ga/, https://opencorporates.com/companies/us_ga/0419819, https://opencorporates.com/officers/663177660, https://opencorporates.com/companies/us_ga/22037300, https://www.linkedin.com/company/the-electrician-atlanta/, https://serviceagent.ai/directory/georgia/atlanta/electrician/the-electrician/, https://opencorporates.com/officers/665036476, https://opencorporates.com/companies/us_ga/07062596, https://www.bbb.org/us/ga/cumming/profile/electrician/the-electrician-0443-28097056, https://opencorporates.com/officers?q=Manne&amp;jurisdiction_code=us_ga&amp;page=3, https://opencorporates.com/officers?q=Phillip+Wills&amp;jurisdiction_code=us_ga, https://theelectricianatlanta.com/services/, https://theelectricianatlanta.com/contact/, https://theelectricianatlanta.com/privacy-policy/, https://rdap.org/domain/theelectricianatlanta.com, https://rdap.org/domain/electricianatl.com, https://dns.google/resolve?name=electricianatl.com&amp;type=MX, https://adstransparency.google.com/?region=US&amp;domain=theelectricianatlanta.com, https://lantern.llc/b/the-electrician-atlanta</t>
        </is>
      </c>
      <c r="BP24" s="8" t="inlineStr">
        <is>
          <t>Medium</t>
        </is>
      </c>
      <c r="BQ24" s="8" t="inlineStr">
        <is>
          <t>Title detail: Founder (About page: 'Howard Manne established The Electrician in 2004'; 'family-owned and operated'). No formal title published - 'Owner' is inferred, not stated.. Legal entity note: RCH Electrical, LLC. — footer reads "RCH Electric, LLC". Correction to item (1): the BBB profile for 'The Electrician' (Phillip Wills, Owner) shows 4835 Belcrest Way, Cumming GA 30040 with fax (404) 339-8500; 5490 Settingdown Rd is the GA SOS registered address for THE ELECTRICIAN, L.L.C., not the BBB address. Both still carry phone (404) 256-0169. All other notes stand.</t>
        </is>
      </c>
      <c r="BR24" s="10" t="inlineStr"/>
      <c r="BS24" s="10" t="inlineStr"/>
      <c r="BT24" s="10" t="inlineStr"/>
    </row>
    <row r="25" ht="120" customHeight="1">
      <c r="A25" s="8" t="inlineStr">
        <is>
          <t>20261012-24</t>
        </is>
      </c>
      <c r="B25" s="8" t="inlineStr">
        <is>
          <t>2026-10-12</t>
        </is>
      </c>
      <c r="C25" s="8" t="n">
        <v>1</v>
      </c>
      <c r="D25" s="10" t="inlineStr"/>
      <c r="E25" s="10" t="inlineStr">
        <is>
          <t>New</t>
        </is>
      </c>
      <c r="F25" s="8" t="n">
        <v>54</v>
      </c>
      <c r="G25" s="8">
        <f>IF(F25="","",IF(F25&gt;=80,"A — send today",IF(F25&gt;=60,"B — worth a touch",IF(F25&gt;=40,"C — hold","D — reject"))))</f>
        <v/>
      </c>
      <c r="H25" s="8" t="inlineStr">
        <is>
          <t>24/7 Plumbing Co., LP</t>
        </is>
      </c>
      <c r="I25" s="8" t="inlineStr">
        <is>
          <t>Trent</t>
        </is>
      </c>
      <c r="J25" s="8" t="inlineStr">
        <is>
          <t>Cooke</t>
        </is>
      </c>
      <c r="K25" s="8" t="inlineStr">
        <is>
          <t>Owner / Master Plumber</t>
        </is>
      </c>
      <c r="L25" s="8" t="inlineStr">
        <is>
          <t>Not found</t>
        </is>
      </c>
      <c r="M25" s="8" t="inlineStr">
        <is>
          <t>None found</t>
        </is>
      </c>
      <c r="N25" s="8" t="inlineStr">
        <is>
          <t>Not found</t>
        </is>
      </c>
      <c r="O25" s="8" t="inlineStr">
        <is>
          <t>Not found (no number is publicly tied to Trent personally; +1 713-384-3012 appears on the TDLR TABS record for the owner entity with Trent Cooke as contact, but is not labeled a direct line)</t>
        </is>
      </c>
      <c r="P25" s="8" t="inlineStr">
        <is>
          <t>+1 281-214-9706 (website header/footer tel: link). Other published numbers for the same business: +1 281-402-9659 (Google Business Profile per plandstudios mirror), +1 281-391-2001 (BBB, 2022 press release, Community Impact), +1 713-384-3012 (TDLR TABS owner record). Fax +1 281-391-2042 (BBB).</t>
        </is>
      </c>
      <c r="Q25" s="8" t="inlineStr">
        <is>
          <t>Plumbing (residential + commercial service; emergency, drains/sewer, water heaters, repipe)</t>
        </is>
      </c>
      <c r="R25" s="8" t="inlineStr">
        <is>
          <t>core</t>
        </is>
      </c>
      <c r="S25" s="8" t="inlineStr">
        <is>
          <t>Katy</t>
        </is>
      </c>
      <c r="T25" s="8" t="inlineStr">
        <is>
          <t>TX</t>
        </is>
      </c>
      <c r="U25" s="8" t="inlineStr">
        <is>
          <t>Phone-first Katy plumber with a public 24/7 answering promise, no online booking or chat, four tracking numbers (they already pay to measure every call), a fresh entity filing in April 2026, and Texas freeze season - the burst-pipe call surge - a few weeks out.</t>
        </is>
      </c>
      <c r="V25" s="8" t="inlineStr">
        <is>
          <t>Unclear (leaning Growth-Minded Operator; evidence short of the 3-signal threshold)</t>
        </is>
      </c>
      <c r="W25" s="8" t="inlineStr">
        <is>
          <t>Voice AI live demo built from katy-plumber.com, after-hours/emergency angle (DEMO PATH, call-first: no email found). Secondary ask on the call: email address for the free AI Search Visibility audit (no schema on site; spot-check pending).</t>
        </is>
      </c>
      <c r="X25" s="8" t="inlineStr">
        <is>
          <t>Recover</t>
        </is>
      </c>
      <c r="Y25" s="8" t="inlineStr">
        <is>
          <t>24/7 Plumbing Co: who answers at 2 a.m.?</t>
        </is>
      </c>
      <c r="Z25" s="8" t="inlineStr">
        <is>
          <t>Your About page promises "24/7 Support &amp; Answering" and you've held a 4.9 across nearly 2,000 Google reviews since opening in 2004 - so I'm curious who actually picks up, and books the job, when a Katy water heater lets go at 2 a.m.</t>
        </is>
      </c>
      <c r="AA25" s="8" t="inlineStr">
        <is>
          <t>Trent, 24/7 is in your name and your site promises 24/7 answering - that's exactly the call we built for. We train a receptionist on katy-plumber.com that picks up the after-hours and overflow calls, sorts a burst pipe from a slow drain, and books the same-day slot instead of taking a message. We build the demo line for 24/7 Plumbing first; you call it and judge it before anything else happens, and go-live is one call-forwarding rule for missed or busy calls.</t>
        </is>
      </c>
      <c r="AB25" s="8" t="inlineStr">
        <is>
          <t>"We already answer 24/7 - we have a dispatcher/answering service." Answer: "Good, keep them; this only catches the calls that ring out or sit on hold during a surge, and it books the appointment instead of taking a message - call the demo line tonight and compare it to what your callers get."</t>
        </is>
      </c>
      <c r="AC25" s="8" t="inlineStr">
        <is>
          <t>Hi Trent, this is Sam with Eat 4 Life Marketing - and I'll be straight with you, this is a cold call, so feel free to hang up on me. I was on katy-plumber.com this morning: your About page promises 24/7 support and answering, and you're sitting on nearly two thousand Google reviews at a 4.9, so the phone clearly rings. Here's the thing - with a shop your size, some of those calls still ring out or sit on hold after hours or during a freeze surge, and that homeowner just dials the next plumber on Google. We build a receptionist trained on your own site that picks up the overflow and after-hours calls, sorts a burst pipe from a slow drain, and books the same-day slot instead of taking a message - and we build a demo line for 24/7 Plumbing you can call and judge before you pay a dollar. Can I take 20 seconds to tell you how the demo works, and you tell me if it's worth a look?</t>
        </is>
      </c>
      <c r="AD25" s="8" t="inlineStr">
        <is>
          <t>Tue-Thu 7:30-8:30 AM CT, before trucks dispatch - the only published numbers are office lines and a review praises 'the office staff,' so the owner is most reachable at the shop before the day's jobs roll; fallback 4:00-5:30 PM CT when crews check back in. Avoid Monday mornings (post-weekend emergency backlog). Call before the first Texas freeze (burst-pipe surge) - that is the why-now.</t>
        </is>
      </c>
      <c r="AE25" s="8" t="inlineStr">
        <is>
          <t>Not published anywhere reachable (site, BBB, about.me, GBP mirror all show no hours). Site About page claims '24/7 Support &amp; Answering'; about.me profile: 'Our 24-hour plumber service is ready when you need help most - day or night'; a BestProsInTown listing shows 'Open 24 today' (search snippet; page blocked). Treat the phone line as answered around the clock, with the office/dispatch staffed normal weekday hours (unverified - Sam to confirm on the call).</t>
        </is>
      </c>
      <c r="AF25" s="8" t="inlineStr">
        <is>
          <t>CT</t>
        </is>
      </c>
      <c r="AG25" s="8" t="inlineStr">
        <is>
          <t>Only business lines are public - no owner cell. Main line (281) 214-9706 is the website's call-tracking number; (281) 391-2001 is the long-standing number on BBB, the 2022 press release and about.me (likely the original office line); (281) 402-9659 is the GBP number; (713) 384-3012 appears on the TDLR warehouse record with 'Trent Cooke' as the owner contact - a company line, not labeled direct, but the one most likely to reach the back office. No office manager or dispatcher is named anywhere public; a BestProsInTown review praises 'the office staff,' so expect a live human front desk (no answering-service vendor identified in page source). Ask for 'Trent or Charles' (co-owners); if screened: 'It's about the 24/7 answering line on your website - who handles the after-hours calls for you?' - that question is the qualifier anyway. If the main line screens hard, try the 713 number. Facebook (facebook.com/247plumbingkaty) is login-walled; LinkedIn company page shows Charles Wallace, not Trent.</t>
        </is>
      </c>
      <c r="AH25" s="8" t="inlineStr">
        <is>
          <t>The About page promise "24/7 Support &amp; Answering" next to "1992 Industry Experience" (https://katy-plumber.com/about/) - a neutral, verifiable hook: 34 years in the trade, a brand literally named 24/7, and an open question of who picks up after hours.</t>
        </is>
      </c>
      <c r="AI25" s="8" t="inlineStr">
        <is>
          <t>(1) Booking friction, verified in page source: no online scheduling (Schedule -&gt; contact form), no chat/text, form "Send Message" with no response-time promise. (2) After-hours claim without proof: "24/7 Support &amp; Answering" on About, "Anytime, anywhere" on Contact, no answering vendor in source, hours unknown. (3) They already pay to measure calls: four tracking numbers across site/GBP/BBB/TDLR plus GTM - every missed one is a measured loss. (4) Price-shopper volume: "Basic Diagnostic Charge $39.95 &amp; Same Day Service" on the hero invites comparison calls where first live answer wins. No verbatim review complaints obtainable (reviews not readable this session; log null: GBP mirror, Yelp 403, BBB 0 complaints/3 yrs, Trustindex loader generic).</t>
        </is>
      </c>
      <c r="AJ25" s="8" t="inlineStr">
        <is>
          <t>Restated Certificate of Formation filed 2026-04-20 (SOS filing list via https://opencorporates.com/companies/us_tx/0800456381) - 175 days old, nature unknown; homepage and Katy service pages updated Aug 2026 (page-sitemap lastmod 2026-08-27, 2026-08-13 to 08-17) - content refresh, not a confirmed redesign; seasonal: Texas winter freeze (burst-pipe surge) is the next vertical peak. Stale: office relocation Mar 2022, warehouse completed Aug 2023, 30-year press release May 2022. Hiring: none found (/careers 404; LinkedIn company page shows no jobs; Indeed not checked).</t>
        </is>
      </c>
      <c r="AK25" s="8" t="inlineStr">
        <is>
          <t>Growth-Minded signals: (1) current website with financing offer (Synchrony), call-tracking numbers, GTM pixel, (c)2026 and service pages updated Aug 2026 (https://katy-plumber.com/, page-sitemap lastmod 2026-08-27); (2) facility expansion - 7,300 sq ft warehouse, $480k, completed 2023-08-01 (https://www.tdlr.texas.gov/TABS/Projects/TABS2023007610) - older than 24 months, half weight; (3) issued press release 2022-05-30 (observer-reporter link) - half weight; (4) 1,958 reviews at 4.9 (GBP mirror) but velocity unknown. No review-reply, hiring, ad, or social-cadence evidence obtainable, so 'Unclear' per the evidence rule. No negatives observed (no anti-marketing or anti-AI statements; no hostility found).</t>
        </is>
      </c>
      <c r="AL25" s="8" t="inlineStr">
        <is>
          <t>Master Plumber; "in the plumbing industry since 1992" (About page). Opened 24/7 Plumbing in Katy in 2004 (Community Impact 2022-02-18; BBB founding 2004-06-01); LLC record from 2005. Co-owns with Charles Wallace; "nearly 50+ combined" years (About). Issued a 2022 press release marking "three decades in the business." Relocated office from 5316 3rd St to 1107 Katyland Dr in March 2022 and added a 7,300 sq ft warehouse (TDLR TABS, completed 2023-08-01). Holds USPTO trademark "24/7 PLUMBING CO.,LP" (reg. 2021-05-18, per OpenCorporates). Military/family-business/prior-career: not found.</t>
        </is>
      </c>
      <c r="AM25" s="8" t="inlineStr">
        <is>
          <t>Site voice is warm-professional and reputation-first: "We're Building Customers for Life", "We Want to Make You Smile!", "honest and committed to customer satisfaction" (phrase repeated on About page and in the 2022 press release), "give us an opportunity to earn and keep your business." Brags: A+ BBB rating ("A+ Reputation Built on Trust"), licensed/insured, "24/7 Support &amp; Answering", Same-Day Service, $39.95 diagnostic, "Katy's #1 source." Marks milestones publicly (press release at 30 years, Community Impact relocation story). Review-reply tone: unknown (reviews not readable this session). Awards/sponsorships: not found.</t>
        </is>
      </c>
      <c r="AN25" s="8" t="inlineStr">
        <is>
          <t>Owner-operator</t>
        </is>
      </c>
      <c r="AO25" s="8" t="inlineStr">
        <is>
          <t>Not found (linkedin.com/in/trent-cooke returned HTTP 999; X-ray search unavailable this session)</t>
        </is>
      </c>
      <c r="AP25" s="8" t="inlineStr">
        <is>
          <t>Company only: Facebook https://www.facebook.com/247plumbingkaty (linked from site; login wall, posts not readable); LinkedIn company https://www.linkedin.com/company/24-7-plumbing-co/ (linked from site; shows Charles Wallace). No Instagram/TikTok/YouTube links in site HTML.</t>
        </is>
      </c>
      <c r="AQ25" s="8" t="inlineStr">
        <is>
          <t>https://katy-plumber.com/</t>
        </is>
      </c>
      <c r="AR25" s="8" t="inlineStr">
        <is>
          <t>Not found (no mailto: or @katy-plumber.com address in home/about/contact HTML; BBB, press release, TDLR record list no email). Domain has MX (mx1/mx2.emailsrvr.com).</t>
        </is>
      </c>
      <c r="AS25" s="8" t="inlineStr">
        <is>
          <t>1107 Katyland Dr, Katy, TX 77493 (site footer, BBB, TDLR TABS, SOS registered-agent address)</t>
        </is>
      </c>
      <c r="AT25" s="8" t="inlineStr">
        <is>
          <t>77493</t>
        </is>
      </c>
      <c r="AU25" s="8" t="inlineStr">
        <is>
          <t>Katy plus Fulshear, Brookshire, Sugar Land, Richmond, Rosenberg, Hempstead, Pattison, Simonton, Missouri City, Houston, Memorial, Bellaire, West University Place, Tomball, Cypress, Fairfield, Sealy (site Locations page); press/CI also list Stafford, Spring, Waller, Mission Bend</t>
        </is>
      </c>
      <c r="AV25" s="8" t="inlineStr">
        <is>
          <t>https://www.google.com/maps/place/?q=place_id:ChIJo7fynYImQYYRFnZgDqJNHHk (Place ID from GBP mirror; listing itself could not be rendered this session)</t>
        </is>
      </c>
      <c r="AW25" s="8" t="inlineStr">
        <is>
          <t>4.9 (GBP mirror https://searchbusiness.plandstudios.com/places/357; capture date not stated; live GBP not rendered)</t>
        </is>
      </c>
      <c r="AX25" s="8" t="inlineStr">
        <is>
          <t>~1,958 Google (GBP mirror; an older aggregator snapshot showed 1,755) - approximate, live GBP not rendered; Yelp 3.9 (20) per aggregator snippet</t>
        </is>
      </c>
      <c r="AY25" s="8" t="inlineStr">
        <is>
          <t>Company opened 2004 (Community Impact: "Trent Cooke opened the plumbing company in 2004"; BBB foundingDate 2004-06-01); LLC trading-name record from 2005-02-22 (OpenCorporates); BBB accredited since 2006-03-30; Trent Cooke "in the plumbing industry since 1992" (About page). NOTE: the scout's "family-owned since 1995" press release (kdhnews) is for a different company, Ory's Plumbing - disregard.</t>
        </is>
      </c>
      <c r="AZ25" s="8" t="inlineStr">
        <is>
          <t>Unclear; likely above E4L's 2-10 truck sweet spot. LinkedIn company page states "2-10 employees" but lists 29 associated members; Community Impact (2022): "the staff has a combined 250 years of experience"; TDLR TABS: 7,300 sq ft warehouse addition ($480k est.) completed 2023-08-01.</t>
        </is>
      </c>
      <c r="BA25" s="8" t="inlineStr">
        <is>
          <t>1 (only 1107 Katyland Dr appears on site Locations page, BBB, SOS; Locations page lists service cities, not offices)</t>
        </is>
      </c>
      <c r="BB25" s="8" t="inlineStr">
        <is>
          <t>Emergency plumbing, drain clearing, hydro jetting, sewer camera inspection, sewer line repair/replacement, sewer ejector pumps, water heater repair/install/maintenance, tankless water heaters, leak detection, slab leak repair, gas line repair/install, water line repair, whole-home repiping, water softener/filtration/RO, backflow testing, bathroom remodeling, commercial plumbing; "Basic Diagnostic Charge $39.95 &amp; Same Day Service"; Synchrony financing offered</t>
        </is>
      </c>
      <c r="BC25" s="8" t="inlineStr">
        <is>
          <t>basic (SSL, contact form, claimed GBP/FB/LinkedIn; no booking, chat, or text-us). Tools detected: WordPress 6.9.10 + Elementor, Google Tag Manager GTM-KXRH7LLC, Trustindex review widget, Synchrony financing, Rackspace email (emailsrvr MX), call tracking (4 distinct numbers by source), UTM-tagged GBP link (utm_source=gmb)</t>
        </is>
      </c>
      <c r="BD25" s="8" t="inlineStr">
        <is>
          <t>agency_managed (likely): call-tracking numbers, GTM, UTM-tagged listings, SEO-built service/city pages, paid press-release distribution; no agency credit in footer, no in-house marketer named</t>
        </is>
      </c>
      <c r="BE25" s="8" t="inlineStr">
        <is>
          <t>established (since 2004; ~2,000 reviews; warehouse built 2023; restated certificate of formation filed 2026-04-20)</t>
        </is>
      </c>
      <c r="BF25" s="8" t="inlineStr">
        <is>
          <t>unknown (Google reviews/replies not renderable; Yelp 403; BBB shows 1 review, no text)</t>
        </is>
      </c>
      <c r="BG25" s="8" t="inlineStr">
        <is>
          <t>Site claims "24/7 Support &amp; Answering" (About page) and "Get in touch with us Anytime, anywhere" (Contact page); brand name is 24/7. No answering-service, call-center, or AI-receptionist vendor appears in page source. GBP hours string could not be retrieved (Google Maps did not render; mirror shows no hours). Mechanism of after-hours answering is UNVERIFIED - Sam to ask "who picks up after 6 and can they book?" on the first call.</t>
        </is>
      </c>
      <c r="BH25" s="8" t="inlineStr">
        <is>
          <t>N - "Schedule" / "Schedule Service" buttons link to /contact/ (Name/Phone/Email/Message "Send Message" form); no booking vendor scripts (checked calendly, acuity, housecallpro, servicetitan, jobber, workiz, scheduleengine in source)</t>
        </is>
      </c>
      <c r="BI25" s="8" t="inlineStr">
        <is>
          <t>None detected (no podium, birdeye, tidio, intercom, drift, tawk, livechat, textline, weave, or SMS widget in source)</t>
        </is>
      </c>
      <c r="BJ25" s="8" t="inlineStr">
        <is>
          <t>WordPress 6.9.10 + Elementor (meta generator); Google Tag Manager GTM-KXRH7LLC; Trustindex Google-reviews widget (cdn.trustindex.io loader x2); Synchrony consumer financing (/financing/); Rackspace-hosted email (mx1/mx2.emailsrvr.com); call tracking inferred from four distinct numbers: 281-214-9706 (site), 281-402-9659 (GBP), 281-391-2001 (BBB/press), 713-384-3012 (TDLR); GBP website link tagged ?utm_source=gmb&amp;utm_medium=organic; no footer agency credit; no FAQPage/LocalBusiness JSON-LD on homepage; domain registered 2011-10-05 (RDAP)</t>
        </is>
      </c>
      <c r="BK25" s="8" t="inlineStr">
        <is>
          <t>Not observed / not checked: Google Ads Transparency Center and Meta Ad Library could not be rendered (JS app / login wall); Google LSA badge and Sponsored results not checked (search budget exhausted this turn). Logged null - not a negative finding.</t>
        </is>
      </c>
      <c r="BL25" s="8" t="inlineStr">
        <is>
          <t>not checked (web search budget exhausted this turn; no ChatGPT/Perplexity/Gemini run). Related observation: no JSON-LD schema found on the homepage, so the GEO audit is a live wedge once the spot-check runs.</t>
        </is>
      </c>
      <c r="BM25" s="8" t="inlineStr">
        <is>
          <t>PASS - independent, single location (1107 Katyland Dr), TX LLC "In Existence" (OpenCorporates mirror of SOS), BBB A+ accredited since 2006, live own-domain site (HTTP 200, WordPress 6.9.10, (c)2026, pages updated Aug 2026), phone + contact form present, not a franchise/chain/PE (no parent, no franchise pages, trademark owned by the LLC), not a competitor category, no AI receptionist vendor in source, no 'no solicitation' notice found, no match in suppression.csv (grep katy-plumber / 24 7 plumbing / cooke). Caveat: GHL 'E4L Services' dedupe via ghl-contacts.js not executed this session.</t>
        </is>
      </c>
      <c r="BN25" s="8" t="inlineStr">
        <is>
          <t>D1 Decision-maker: 8/20 - Trent Cooke, Owner/co-owner cited on site About, BBB, SOS (registered agent), press, Community Impact; but no email anywhere, no owner direct line, no owner LinkedIn -&gt; name + staffed main line + form only = DEMO PATH / call-first. | D2 Phone gap: 9/15 - phone-first (header tel:, "Schedule Service (281) 214-9706" primary CTA, Schedule -&gt; contact form, no booking) and plumbing is inherently urgent, BUT the site itself claims "24/7 Support &amp; Answering" and GBP hours could not be captured, so the gap is unproven; scored 9 not 15. | D3 Leak evidence: 5/15 - exactly one signal type: booking/contact friction verified in page source (no scheduler, no chat/text, no auto-reply promise); no readable reviews, no job posts, BBB 0 complaints. | D4 AI visibility: 0/10 - NO EVIDENCE (spot-check not run; search budget); homepage has no JSON-LD schema. | D5 ICP fit: 15/15 - independent single-location TX LLC with named owner; core niche; 5 ability proxies: since 2004 (BBB), 1,958 reviews (GBP mirror), visible staff/facility (LinkedIn 29 members, 7,300 sq ft warehouse), high-ticket services + Synchrony financing, 17-city area + 24/7 claim. | D6 Buying signals: 11/15 - dated trigger 61-180 days (restated formation 2026-04-20) plus spend signals in groups (d)/(e): GTM, call-tracking numbers, Trustindex, BBB accreditation, Synchrony; paid-media (a)(b)(c) not observable this session. | D7 Attitude/stack: 6/10 - positives: modern maintained site ((c)2026, updated Aug 2026), tech adoption (financing, review widget, tracking), growth posture (warehouse/press, half weight for age); unknowns: review replies, social cadence; no negatives, no incumbent bundled agency credited. TOTAL 54 -&gt; WATCH band (top of range; D4 unrun is the blocker - a 0-of-6 result would lift it to 64 QUALIFIED). Trust: 6 of 7 dimensions evidenced; D1 positive; D3 direct source-level evidence; D5 evidenced; GHL dedupe (ghl-contacts.js) NOT run this session - Rozel to confirm before any load.</t>
        </is>
      </c>
      <c r="BO25" s="8" t="inlineStr">
        <is>
          <t>https://katy-plumber.com/about/, https://katy-plumber.com/, https://katy-plumber.com/contact/, https://opencorporates.com/companies/us_tx/0800456381, https://www.bbb.org/us/tx/katy/profile/plumber/247-plumbing-services-llc-0915-31006025, https://communityimpact.com/houston/katy/impacts/2022/02/18/247-plumbing-co-lp-relocating-within-katy, https://stocks.observer-reporter.com/observerreporter/news/read/42445659/katy_plumber_marks_three_decades_in_the_business, https://www.tdlr.texas.gov/TABS/Projects/TABS2023007610, https://searchbusiness.plandstudios.com/places/357, https://www.linkedin.com/company/24-7-plumbing-co/, https://opencorporates.com/companies/us_tx/0800349106, https://katy-plumber.com/financing/, https://katy-plumber.com/locations/, https://katy-plumber.com/page-sitemap.xml, https://katy-plumber.com/post-sitemap.xml, https://www.facebook.com/247plumbingkaty, https://rdap.verisign.com/com/v1/domain/katy-plumber.com, https://kdhnews.com/online_features/press_releases/katy-family-owned-plumbing-company-marks-30-years-of-service-since-1995/article_1555379f-f7cc-5dc2-9835-ac9a78636b69.html (different company - Ory's Plumbing; cited only to document the scout correction)</t>
        </is>
      </c>
      <c r="BP25" s="8" t="inlineStr">
        <is>
          <t>Medium</t>
        </is>
      </c>
      <c r="BQ25" s="8" t="inlineStr">
        <is>
          <t>Title detail: Owner / Master Plumber (BBB: "Trent Cooke, Owner"; site About: "co-owners, Charles Wallace and Trent Cooke"; SOS via OpenCorporates: registered agent "Trent A Cooke"; 2022 press release: "owner Trent Cooke"). Co-owner: Charles Wallace (site About; LinkedIn company page).. Legal entity note: dba of 24/7 Plumbing Services, L.L.C.. 1) Second decision-maker: Charles Wallace, co-owner (site About; LinkedIn company page) - Sam should ask for Trent or Charles. 2) Route DEMO PATH / call-first: no email anywhere public; main line +1 281-214-9706 (site) or +1 281-391-2001 (BBB). Best window: trades 7:00-8:30 am or 4:00-5:30 pm Central. 3) Size flag: ~1,958 reviews, 7,300 sq ft warehouse, LinkedIn shows 29 associated members - likely a dispatch/office staff exists; pitch voice AI as after-hours and overflow coverage, never as replacing the office. 4) Entity: 24/7 Plumbing Services, L.L.C. (In Existence) dba 24/7 Plumbing Co., LP; the two old LP entities are merged/inactive (normal). Restated Certificate of Formation 2026-04-20 - unknown nature; do not reference in outreach. 5) Scout correction: "family-owned since 1995" belonged to Ory's Plumbing (kdhnews release) - not this company. 6) Gaps to close before SEND TODAY: GBP hours string + review text (reachability quotes, reply behavior), LSA/Google Ads check, Meta Ad Library, owner LinkedIn, and the 3x2 AI spot-check - all blocked this session by search budget/JS walls. 7) TDLR license search returned no record for RMP 37092 or "COOKE, TRENT" without the license-type selector - logged null, not a negative; RMP 37092 is self-published on the site. 8) GHL ghl-contacts.js dedupe not run here - Rozel to run before load. 9) Compliance: no cell numbers found; all numbers are business lines; "24/7 PLUMBING CO.,LP" is their registered trademark - fine to name.</t>
        </is>
      </c>
      <c r="BR25" s="10" t="inlineStr"/>
      <c r="BS25" s="10" t="inlineStr"/>
      <c r="BT25" s="10" t="inlineStr"/>
    </row>
    <row r="26" ht="120" customHeight="1">
      <c r="A26" s="8" t="inlineStr">
        <is>
          <t>20261012-25</t>
        </is>
      </c>
      <c r="B26" s="8" t="inlineStr">
        <is>
          <t>2026-10-12</t>
        </is>
      </c>
      <c r="C26" s="8" t="n">
        <v>1</v>
      </c>
      <c r="D26" s="10" t="inlineStr"/>
      <c r="E26" s="10" t="inlineStr">
        <is>
          <t>New</t>
        </is>
      </c>
      <c r="F26" s="8" t="n">
        <v>54</v>
      </c>
      <c r="G26" s="8">
        <f>IF(F26="","",IF(F26&gt;=80,"A — send today",IF(F26&gt;=60,"B — worth a touch",IF(F26&gt;=40,"C — hold","D — reject"))))</f>
        <v/>
      </c>
      <c r="H26" s="8" t="inlineStr">
        <is>
          <t>Bill West Roofing, Inc.</t>
        </is>
      </c>
      <c r="I26" s="8" t="inlineStr">
        <is>
          <t>Bill</t>
        </is>
      </c>
      <c r="J26" s="8" t="inlineStr">
        <is>
          <t>West</t>
        </is>
      </c>
      <c r="K26" s="8" t="inlineStr">
        <is>
          <t>President</t>
        </is>
      </c>
      <c r="L26" s="8" t="inlineStr">
        <is>
          <t>info@billwestroofing.com</t>
        </is>
      </c>
      <c r="M26" s="8" t="inlineStr">
        <is>
          <t>Generic (info@/office@)</t>
        </is>
      </c>
      <c r="N26" s="8" t="inlineStr">
        <is>
          <t>Confirmed</t>
        </is>
      </c>
      <c r="O26" s="8" t="inlineStr">
        <is>
          <t>Not found (neither published number is tied to Bill or Aaron by name on any page)</t>
        </is>
      </c>
      <c r="P26" s="8" t="inlineStr">
        <is>
          <t>+1 816-295-6299 (site header CTA 'Call Us for a Free Appointment', site JSON-LD telephone, CertainTeed profile, Project Map It). Second published line: +1 816-229-5215 (site footer, BBB profile).</t>
        </is>
      </c>
      <c r="Q26" s="8" t="inlineStr">
        <is>
          <t>Roofing (residential + commercial roof replacement/repair, storm/hail damage, emergency roof repair)</t>
        </is>
      </c>
      <c r="R26" s="8" t="inlineStr">
        <is>
          <t>core</t>
        </is>
      </c>
      <c r="S26" s="8" t="inlineStr">
        <is>
          <t>Grain Valley</t>
        </is>
      </c>
      <c r="T26" s="8" t="inlineStr">
        <is>
          <t>MO</t>
        </is>
      </c>
      <c r="U26" s="8" t="inlineStr">
        <is>
          <t>2026 is the company's 50th year by its own 'since 1976' count — a legacy moment that fits the 'your name should be the answer' frame. The site was refreshed in May 2026 and has pushed monthly emergency/hail/insurance content through Aug 31 2026, so they are actively courting storm-emergency callers right now — exactly the calls that land after 5 PM or on Sunday. Heading into winter wind/ice season with hail-season insurance claims still working through, the after-hours gap is live. (No dated storm event verified this run; do not cite one.)</t>
        </is>
      </c>
      <c r="V26" s="8" t="inlineStr">
        <is>
          <t>Family-Legacy Pride Brand (medium confidence); secondary cues of Tech-Forward (Roofr estimator, financing portal, SMS consent, monthly blog)</t>
        </is>
      </c>
      <c r="W26" s="8" t="inlineStr">
        <is>
          <t>Voice AI live demo line built from billwestroofing.com, positioned as the after-hours/overflow layer that qualifies storm callers (address, damage, insurance claim) and books the inspection — an upgrade of the current message-taking answering service, not a replacement for 'Brittany in the office'. Bundle missed-call text-back. Before first touch: run one GEO money question ('emergency roofer near Blue Springs, MO') on one platform to close the D4 gap and re-score.</t>
        </is>
      </c>
      <c r="X26" s="8" t="inlineStr">
        <is>
          <t>Recover</t>
        </is>
      </c>
      <c r="Y26" s="8" t="inlineStr">
        <is>
          <t>The 24/7 line on billwestroofing.com</t>
        </is>
      </c>
      <c r="Z26" s="8" t="inlineStr">
        <is>
          <t>Fifty years after Bill started shingling in 1976, your site still promises 24/7 emergency roof repair next to Mon–Sat 8–5 hours — curious who the answering service hands the 9 PM leak calls to.</t>
        </is>
      </c>
      <c r="AA26" s="8" t="inlineStr">
        <is>
          <t>Family-Legacy framing with an answering-service upgrade hook. Respect the name: 50 years, father and son, 'grows through referrals and name recognition'. Then the neutral observation: the home page says 24/7, the hours say Mon–Sat 8–5, and the emergency page says an answering service routes messages with a 24-hour response. A storm caller who gets a message-taker calls the next roofer who answers. E4L builds a receptionist trained on their own story that answers those calls, qualifies the homeowner (address, damage, insurance claim), books the inspection into their calendar, and texts back any missed call in under a minute — after-hours and overflow only, so Brittany and the office keep their day. Address Aaron (runs estimates, next generation) as the champion and Bill as the signer. Proof lever: 'hear it yourself on a demo number before you pay a dollar'. Never promise results; no prices on the call.</t>
        </is>
      </c>
      <c r="AB26" s="8" t="inlineStr">
        <is>
          <t>'We already have an answering service.' Answer: it takes a message and promises a callback within 24 hours; this one qualifies the caller, books the inspection and texts them back in under a minute — and you can call the demo line and judge it yourself before anything changes. Second objection: 'We grow on referrals, we don't do marketing.' Answer: this isn't marketing — it only catches the calls your referrals already generate when the office is closed or on a roof.</t>
        </is>
      </c>
      <c r="AC26" s="8" t="inlineStr">
        <is>
          <t>"Hi, is this Aaron? Aaron, it's Sam with Eat 4 Life Marketing — this is a cold call, so feel free to hang up on me. I was on billwestroofing.com this morning: fifty years, you and your dad, and right under the '24/7 Emergency Roof Repair' heading your hours say Monday to Saturday, 8 to 5. Right now the answering service takes a message on those night and Sunday storm calls — we build a receptionist trained on your own company that picks up instead, asks the homeowner the questions you'd ask, books the inspection, and texts back anyone you miss in under a minute. Can I take twenty seconds to explain how it works, and then you decide if it's worth calling the demo line we'd build for you?" (If Bill answers: 'Mr. West' and the same opener. If Brittany answers: 'Morning Brittany — Sam with Eat 4 Life Marketing, it's a cold call about the after-hours emergency line; is Aaron or Bill around for twenty seconds?')</t>
        </is>
      </c>
      <c r="AD26" s="8" t="inlineStr">
        <is>
          <t>Tue–Thu 8:00–8:45 AM CT, right at opening (site hours Mon–Sat 8:00 a.m.–5:00 p.m.), before Aaron leaves for estimates and crews dispatch; fallback 4:00–5:00 PM CT when crews return. A site testimonial says 'Brittany in the office' handles customers, so the office line is staffed in hours — ask for Aaron first (customer-facing, runs estimates), Bill second. Dial +1 816-295-6299 (main CTA); +1 816-229-5215 is the footer/BBB line. Missouri follows federal 8 AM–9 PM; stay inside 8–5 CT.</t>
        </is>
      </c>
      <c r="AE26" s="8" t="inlineStr">
        <is>
          <t>Mon–Sat 8:00 AM–5:00 PM, closed Sunday. Site footer: 'Monday thru Saturday 8-5:00 pm'; contact page: 'Mon-Sat: 8:00 a.m. – 5:00 p.m.'; site JSON-LD openingHoursSpecification Mon–Sat 08:00–17:00. GBP hours not reachable this run.</t>
        </is>
      </c>
      <c r="AF26" s="8" t="inlineStr">
        <is>
          <t>America/Chicago (Central Time) — Grain Valley, Jackson County, MO</t>
        </is>
      </c>
      <c r="AG26" s="8" t="inlineStr">
        <is>
          <t>In hours: 'Brittany in the office' (first name + role only, from a customer review embedded in the home page https://www.billwestroofing.com/ (JSON-LD review array / testimonial section) — NOT on /about-us/ — do not quote the review). After hours: an unnamed human answering service routes calls/messages to the team (https://www.billwestroofing.com/emergency-roof-repair/). Two published lines: +1 816-295-6299 (site header CTA + JSON-LD, CertainTeed, Project Map It) and +1 816-229-5215 (site footer, contact page, BBB — the only number BBB lists) — try the second if the first hits the service. No owner cell published. Contact form offers preferred callback windows including 'evening (4pm to 8pm)', so someone works callbacks after 5. To get through: ask for Aaron by first name (he runs estimates and is customer-facing), say it's about the after-hours emergency line, keep it to 20 seconds.</t>
        </is>
      </c>
      <c r="AH26" s="8" t="inlineStr">
        <is>
          <t>The 50-year milestone (1976→2026, site's own count) plus the father-and-son story on /about-us/ and Aaron's 'better educated' quote — the safest, most specific compliment available. Pair it with the neutral phone observation: '24/7 Emergency Roof Repair' on the home page next to Mon–Sat 8–5 hours. Sources: https://www.billwestroofing.com/about-us/ and https://www.billwestroofing.com/</t>
        </is>
      </c>
      <c r="AI26" s="8" t="inlineStr">
        <is>
          <t>(1) 24/7 claim vs. hours: home page heading '24/7 Emergency Roof Repair' while the footer reads 'Monday thru Saturday 8-5:00 pm' (https://www.billwestroofing.com/). (2) After-hours handled by a message-taking service: 'Our answering service immediately routes your calls or messages to us.' and 'we guarantee a 24-hour immediate response' (https://www.billwestroofing.com/emergency-roof-repair/) — a storm caller gets a callback window, not a booked inspection. (3) Booking friction: no online scheduler, no chat/text, contact form promises only 'a prompt response to your inquiry' with no stated turnaround (https://www.billwestroofing.com/contact/). (4) Phone-first funnel: primary CTA 'Call Us for a Free Appointment' with the number in the header. Not found/not checkable: review complaints about reachability (GBP/Yelp blocked), front-office job posts (no careers page; Indeed/ZipRecruiter 403), BBB complaints (0 in 3 years).</t>
        </is>
      </c>
      <c r="AJ26" s="8" t="inlineStr">
        <is>
          <t>No dated trigger within 60 days confirmed. Soft activity: homepage dateModified 2026-05-18 with new hero image uploaded May 2026 (site JSON-LD); monthly blog push on emergency/hail/insurance topics through Aug 31 2026 (https://www.billwestroofing.com/blog/). Milestone: 2026 is the 50th year by the site's own 'since 1976' count. Seasonal: KC hail/wind season is spring–summer; October is shoulder season heading into winter wind/ice calls. Negatives logged: no job posts found, no new-location/expansion language, no news retrievable, no 'retiring/for sale' signals.</t>
        </is>
      </c>
      <c r="AK26" s="8" t="inlineStr">
        <is>
          <t>(1) Website: 'Bill West Roofing, Inc. is rooted in family tradition... Bill West started the company in 1976... Today Bill and his son Aaron oversee Bill West Roofing, Inc.' and surname-in-name, founder story, next-generation family member introduced (/about-us/, seen 2026-10-12). (2) Website copy frames identity as reputation/continuity: 'Our name has stayed the same for the 46 years we've been in business'; 'Bill West Roofing, Inc. has grown, and continues to grow through referrals and name recognition.'; tagline 'Preserve the family home your kids and grandkids can return to.' (home). (3) Community/award footprint: 'Best of Jackson County' (2017–2023), Eastern Jackson Co. winner, Examiner 'Best of Best' 2021 badges on home page; BBB A+ rating with 0 complaints in 3 years (bbb.org profile) — reputation-conscious. (4) Vertical profile: CertainTeed ShingleMaster Premier 'Since 2010' (certainteed.com/profiles/BWRroofs) — long manufacturer credential. Contradicting/secondary: modern tooling on site (Roofr instant estimator, Acorn financing, Gravity Forms with SMS consent, monthly bylined blog through Aug 31 2026) leans Tech-Forward/Growth, but no booking, chat, hiring or ad evidence found. Review-response behavior unknown (GBP/Yelp not retrievable), so confidence stays medium.</t>
        </is>
      </c>
      <c r="AL26" s="8" t="inlineStr">
        <is>
          <t>Self-stated on /about-us/: 'Prior to building the business from the ground up, founder Bill West worked as a union journeyman, doing commercial roofing projects and taking residential roofing jobs on the side.' Son Aaron: 'Bill introduced his son Aaron to the roofing business early... Aaron remembers being tied off to a roof and shingling when he was six years old.' Aaron now meets customers for estimates: 'When Aaron meets with customers to discuss a roofing estimate or roofing work, foremost in his mind is giving you the knowledge and tools you need.' Blog posts (monthly, Mar–Aug 2026) are bylined 'Bill West'.</t>
        </is>
      </c>
      <c r="AM26" s="8" t="inlineStr">
        <is>
          <t>Tone: warm, plain-spoken, anti-hype, education-first, legacy-proud. Verbatim: Aaron — 'When I leave, if you're not better educated, I haven't done my job.' (/about-us/). Site — 'We will not substitute shoddy materials or workmanship to beat a company that will disappear after you write the check.' and 'we pride ourselves on not overselling to our customers.' (/about-us/). Home tagline — 'May They Always Come Home' / 'Preserve the family home your kids and grandkids can return to.' Bragging points: family-owned since 1976, CertainTeed ShingleMaster Premier since 2010, 'Best of Jackson County' 2017–2023 and Examiner 'Best of Best' 2021 badges on home, BBB A+ with 0 complaints in 3 years. Site testimonials praise 'trustworthy and honest' and 'the speed and professional approach'. No public statements about marketing, phones or AI found.</t>
        </is>
      </c>
      <c r="AN26" s="8" t="inlineStr">
        <is>
          <t>Owner-operator</t>
        </is>
      </c>
      <c r="AO26" s="8" t="inlineStr">
        <is>
          <t>https://www.linkedin.com/in/billwestroofing — linked from the site footer and JSON-LD sameAs (a personal /in/ URL carrying the business name); profile content not retrievable (HTTP 999), so whose profile it is remains UNVERIFIED/LIKELY.</t>
        </is>
      </c>
      <c r="AP26" s="8" t="inlineStr">
        <is>
          <t>All from site JSON-LD sameAs/footer; activity not verifiable this run: Facebook https://www.facebook.com/BillWestRoofing (login wall); YouTube https://www.youtube.com/user/billwestroofing (channel exists, content did not load); Twitter/X https://twitter.com/billwestroofing; Pinterest https://www.pinterest.com/BillWestRoofing; Project Map It https://projectmapit.com/bill-west-roofing-inc/; CertainTeed https://www.certainteed.com/profiles/BWRroofs. No Instagram or TikTok linked.</t>
        </is>
      </c>
      <c r="AQ26" s="8" t="inlineStr">
        <is>
          <t>https://www.billwestroofing.com</t>
        </is>
      </c>
      <c r="AR26" s="8" t="inlineStr">
        <is>
          <t>info@billwestroofing.com (published in the site's own RoofingContractor JSON-LD on https://www.billwestroofing.com/ — view-source, not visible text; domain MX = Google Workspace, aspmx.l.google.com). Third-party profiles also list free-mail addresses: billwestroofing@yahoo.com (certainteed.com/profiles/BWRroofs) and billwestroofing@gmail.com (projectmapit.com/bill-west-roofing-inc/) — LIKELY only, Rozel to verify before any send.</t>
        </is>
      </c>
      <c r="AS26" s="8" t="inlineStr">
        <is>
          <t>3521 S Buckner Tarsney Rd, Grain Valley, MO 64029 (site footer, site JSON-LD, BBB, CertainTeed profile, Project Map It all agree)</t>
        </is>
      </c>
      <c r="AT26" s="8" t="inlineStr">
        <is>
          <t>64029</t>
        </is>
      </c>
      <c r="AU26" s="8" t="inlineStr">
        <is>
          <t>Jackson, Cass and Lafayette counties (MO) plus Johnson and Wyandotte counties (KS). MO cities: Kansas City, Blue Springs, Grain Valley, Oak Grove, Lee's Summit, Buckner, Independence, Greenwood, Bates City, Odessa, Raytown, Lexington, Napoleon, Wellington, Riss Lake. KS: Kansas City, Overland Park, Leawood, Lenexa, Prairie Village, Mission Hills, Shawnee Mission, Olathe, Mission, Merriam, Fairway (https://www.billwestroofing.com/about-us/).</t>
        </is>
      </c>
      <c r="AV26" s="8" t="inlineStr">
        <is>
          <t>Not found (Google Business Profile not reachable this run: web search budget exhausted, Maps not fetchable)</t>
        </is>
      </c>
      <c r="AW26" s="8" t="inlineStr">
        <is>
          <t>Not confirmed on GBP (not reachable; search budget exhausted). Three published figures, none from GBP directly: (a) site's own RoofingContractor JSON-LD on https://www.billwestroofing.com/ declares aggregateRating 4.9 from 282 reviews; (b) Project Map It widget (cards labeled 'reviewed on google') shows 5.0/5 from 229 reviews — https://projectmapit.com/bill-west-roofing-inc/; (c) CertainTeed profile 4.54 from 195 Customer Reviews — https://www.certainteed.com/profiles/BWRroofs. Yelp 4.0 (5 reviews) per Expertise (not re-verified). BBB A+ (1 customer review, 0 complaints in 3 years). Verify on GBP before quoting any number.</t>
        </is>
      </c>
      <c r="AX26" s="8" t="inlineStr">
        <is>
          <t>~229 per Project Map It Google-review widget (unconfirmed on GBP); 195 on CertainTeed; 5 on Yelp (per Expertise); 1 on BBB</t>
        </is>
      </c>
      <c r="AY26" s="8" t="inlineStr">
        <is>
          <t>CONFLICT: 1976 per site ('Bill West started the company in 1976 and has owned it for over 46 years' — /about-us/; 'family-owned business since 1976' — home) vs 1980 per BBB schema foundingDate, Alignable and Expertise. Hypothesis: sole-prop start 1976, incorporated ~1980 (legal name 'Bill West Roofing, Inc.' per BBB). Domain registered 2008-11-05 (Verisign RDAP). CertainTeed ShingleMaster Premier 'Since 2010'. 2026 = 50th year by the site's own count.</t>
        </is>
      </c>
      <c r="AZ26" s="8" t="inlineStr">
        <is>
          <t>Not found as a number. Site /about-us/: 'Bill, Aaron, and their employees'; a site testimonial names 'Brittany in the office and both crews that did the work' → at least 2 crews + office staff. BBB lists no employee count; LinkedIn/Indeed not retrievable.</t>
        </is>
      </c>
      <c r="BA26" s="8" t="inlineStr">
        <is>
          <t>1 (same Grain Valley address on site, BBB, CertainTeed, Project Map It; no 'locations' or franchise page on site)</t>
        </is>
      </c>
      <c r="BB26" s="8" t="inlineStr">
        <is>
          <t>Residential and commercial roof replacement and repair; asphalt shingle, flat and metal roofing; storm/hail/wind damage repair; '24/7 Emergency Roof Repair'; seamless gutters; insurance-claim guidance (blog); financing via Acorn Finance; Roofr instant estimate; CertainTeed SELECT/Premier ShingleMaster with Integrity Roof System and SureStart Plus warranty.</t>
        </is>
      </c>
      <c r="BC26" s="8" t="inlineStr">
        <is>
          <t>modern (borderline): Roofr instant estimator, Acorn Finance portal, Gravity Forms with SMS-consent checkbox, Google Tag Manager, Project Map It review/project widget, RoofingContractor JSON-LD + Question/Answer schema; but no online booking, no chat/text widget, no call tracking.</t>
        </is>
      </c>
      <c r="BD26" s="8" t="inlineStr">
        <is>
          <t>agency_managed (likely): monthly blog posts on the last business day of each month, all bylined 'Bill West' (Mar 30, Apr 30, May 29, Jun 30, Jul 31, Aug 31 2026), Astra + child theme 'bonedry', Kadence Blocks Pro, GTM — no footer agency credit, no CallRail, no bundled vertical agency (Scorpion/Hibu/Thryv) detected.</t>
        </is>
      </c>
      <c r="BE26" s="8" t="inlineStr">
        <is>
          <t>established (50 years per site; ~229 Google reviews per Project Map It widget; single location; site refreshed May 2026; no hiring or expansion evidence found)</t>
        </is>
      </c>
      <c r="BF26" s="8" t="inlineStr">
        <is>
          <t>unknown (GBP and Yelp not retrievable this run; BBB shows 0 complaints in 3 years)</t>
        </is>
      </c>
      <c r="BG26" s="8" t="inlineStr">
        <is>
          <t>Hours Mon–Sat 8–5, closed Sunday. Home page advertises '24/7 Emergency Roof Repair' ('our emergency repair team swiftly responds'). Emergency page credits an unnamed human answering service: 'Provide prompt after-business hours responsiveness. Our answering service immediately routes your calls or messages to us.' and 'we guarantee a 24-hour immediate response' (a 24-hour callback window, not 24/7 live answering). 24/7 coverage NOT confirmed; no AI receptionist vendor in page source. Pitch becomes an upgrade/cost-replacement conversation: message-taking service vs. a receptionist trained on their site that qualifies and books. https://www.billwestroofing.com/emergency-roof-repair/</t>
        </is>
      </c>
      <c r="BH26" s="8" t="inlineStr">
        <is>
          <t>None. 'Schedule Your Roof Inspection' button links to the contact form; Roofr 'Get a free instant estimate!' is an estimator, not a scheduler. No Calendly/ServiceTitan/Jobber/Housecall Pro/Acuity scripts in page source. Contact page promises only 'a prompt response to your inquiry' (no stated turnaround) with a preferred-time picker (morning/afternoon/evening 4–8pm).</t>
        </is>
      </c>
      <c r="BI26" s="8" t="inlineStr">
        <is>
          <t>None. No chat/text widget scripts (checked podium, birdeye, tidio, intercom, tawk, drift, livechat, textline, weave). Gravity Forms contact form carries an SMS-consent checkbox ('I consent to receive SMS messages from Bill West Roofing Inc.'), so they text customers but offer no text-us button.</t>
        </is>
      </c>
      <c r="BJ26" s="8" t="inlineStr">
        <is>
          <t>WordPress (Astra theme + 'bonedry' child theme), Kadence Blocks Pro, Gravity Forms + Gravity Forms Zero Spam, Google Tag Manager, Roofr instant estimator, Acorn Finance (acornfinance.com / your.acornfinance.com), Project Map It, CertainTeed credentialed contractor, Google Workspace email (MX aspmx.l.google.com). Not present: CallRail/CTM, Podium/Birdeye, chat, booking, any AI receptionist or answering-service vendor script.</t>
        </is>
      </c>
      <c r="BK26" s="8" t="inlineStr">
        <is>
          <t>Not checked — Meta Ad Library returned HTTP 403 and Google Ads Transparency Center is JS-only/redirect; LSA 'Google Guaranteed' badge not checkable without search. Page-source negatives: no CallRail/dynamic number swap, no gclid landing pages, no Meta pixel string found (GTM present, so pixels may load through it).</t>
        </is>
      </c>
      <c r="BL26" s="8" t="inlineStr">
        <is>
          <t>not checked (Perplexity returned HTTP 403; ChatGPT/Gemini not fetchable; web search budget exhausted this run). Schema note: site already carries RoofingContractor JSON-LD and Question/Answer markup on the emergency page, so a 'Named in X of Y' line must come from a real audit run.</t>
        </is>
      </c>
      <c r="BM26" s="8" t="inlineStr">
        <is>
          <t>PASS. Chain/franchise: independent single-location 'Inc.' with named founder, no franchise/PE/'part of' language on site or BBB. Website: own domain, HTTP 200, ©2026, modified 2026-05-18. Live US business: BBB A+ profile active, blog post Aug 31 2026, MO address. Inbound channel: two phone numbers + Gravity Forms contact form. Not a competitor/non-buyer: roofing contractor. Not already automated: no AI phone agent in source; a human answering service is credited (scored at D2, not rejected). Off-limits lists: grep of suppression.csv and seen.csv for 'bill west / billwest / west roofing' returns only 'Horizon West Roofing LLC' (Apopka, FL — different company); no 'no solicitation' notice found. GHL 'E4L Services' dedupe NOT run from this session — loader must run ghl-contacts.js by domain/phone before loading.</t>
        </is>
      </c>
      <c r="BN26" s="8" t="inlineStr">
        <is>
          <t>D1 Decision-maker: 8/20 — Full name + role cited from two sources (site: 'Founded by Bill West... alongside his son Aaron'; BBB principal 'Bill West, President') but the only published mailbox is generic info@billwestroofing.com (site JSON-LD, MX present) and the footer LinkedIn /in/ URL could not be opened (HTTP 999) → generic-mailbox level, call-first route. | D2 Phone gap: 9/15 — Phone-first (header tel link + 'Call Us for a Free Appointment'); hours 'Monday thru Saturday 8-5:00 pm' vs. '24/7 Emergency Roof Repair' on home; BUT emergency page states 'Our answering service immediately routes your calls or messages to us' — human answering service mentioned, 24/7 not confirmed → 9 not 15. | D3 Leak evidence: 5/15 — Exactly 1 signal type: booking/contact friction (no scheduler, no chat/text, form promises only 'a prompt response'). Logged null: reviews (GBP/Yelp 403), job posts (no careers page; Indeed/ZipRecruiter 403), BBB 0 complaints. | D4 AI visibility: 0/10 — NO EVIDENCE: no AI platform could be checked (Perplexity 403, search budget exhausted); not inferred. Site has RoofingContractor JSON-LD + Q&amp;A schema. | D5 ICP fit: 15/15 — (a) family-owned, 1 location, named owner; (b) roofing = core niche; (c) proxies: since 1976/1980 (site, BBB), 195–229 reviews (CertainTeed, Project Map It widget), roofing ticket $8–15k + Acorn financing (home), 5-county two-state service area (about-us). | D6 Buying signals: 7/15 — Only tool/web spend (Roofr, Project Map It, Kadence Pro, Gravity Forms, GTM); no dated trigger within 180 days (site modified May 2026 is maintenance, blog is soft activity); Google Ads/LSA/Meta Ad Library not checkable this run (logged). | D7 Attitude: 10/15... correction: 10/10 — Positives: modern maintained site (©2026, modified 2026-05-18, SSL); adopts tech (Roofr estimator, Acorn financing, SMS consent); growth/award posture ('Best of Jackson County' 2017–2023, Examiner Best of Best 2021 badges); no negatives, no incumbent bundled agency or AI receptionist credited. | TOTAL 54 = TRUSTED (6 of 7 dimensions with evidence; D1 positive; D2 direct hours string; D5 cited) → WATCH band by one point, blocker D4 (not checked). Per rubric, one GEO money question on one platform re-scores it: 'not named' on even one platform = D4 6 → 60 QUALIFIED.</t>
        </is>
      </c>
      <c r="BO26" s="8" t="inlineStr">
        <is>
          <t>https://www.billwestroofing.com/, https://www.billwestroofing.com/emergency-roof-repair/, https://www.billwestroofing.com/about-us/, https://www.billwestroofing.com/contact/, https://www.bbb.org/us/mo/grain-valley/profile/roofing-contractors/bill-west-roofing-inc-0714-97101169, https://projectmapit.com/bill-west-roofing-inc/, https://www.certainteed.com/profiles/BWRroofs, https://www.billwestroofing.com/blog/, https://www.billwestroofing.com/blog/emergency-roofing-in-kansas-city-when-you-need-a-roofer-fast-and-who-to-call/, https://www.expertise.com/mo/independence/roofing, https://www.alignable.com/grain-valley-mo/bill-west-roofing, https://www.linkedin.com/in/billwestroofing, https://www.facebook.com/BillWestRoofing, https://www.youtube.com/user/billwestroofing, https://rdap.verisign.com/com/v1/domain/billwestroofing.com, https://dns.google/resolve?name=billwestroofing.com&amp;type=MX</t>
        </is>
      </c>
      <c r="BP26" s="8" t="inlineStr">
        <is>
          <t>Medium</t>
        </is>
      </c>
      <c r="BQ26" s="8" t="inlineStr">
        <is>
          <t>Title detail: President (BBB principal contact: 'Bill West, President' — https://www.bbb.org/us/mo/grain-valley/profile/roofing-contractors/bill-west-roofing-inc-0714-97101169); Founder/owner per site ('Founded by Bill West and now operated alongside his son Aaron' — home; 'Today Bill and his son Aaron oversee Bill West Roofing, Inc.' — /about-us/). Second decision-maker: Aaron (son; runs estimates and customer education per /about-us/; surname NOT published on any page found — do not assume).. 1) Score is 54 TRUSTED = WATCH by one point; the only blocker is D4 (no AI platform could be checked). One Perplexity/ChatGPT question on 'emergency roofer near Blue Springs, MO' re-scores it to 60+ if they are not named. 2) D2 is 9, not the scout's assumed 15: the emergency page credits a human answering service — lead with 'upgrade, not replace' and the demo line, and have Sam log who actually answers after hours. 3) Owner Bill West (President per BBB) is hands-on; son Aaron runs estimates and is the likely champion — his surname is NOT published anywhere found, so address him as 'Aaron' only. 4) Only confirmed email is generic info@billwestroofing.com (in site JSON-LD, MX = Google Workspace); yahoo/gmail addresses on CertainTeed and Project Map It are third-party and need Rozel's verification before any send. 5) Google review count (~229 at 5.0) is from the Project Map It widget, not GBP — verify before quoting. 6) Founding year conflict 1976 (site) vs 1980 (BBB/Alignable) — use 'since 1976' only because it is their own claim. 7) Do not quote the site testimonial that names Brittany or any reviewer. 8) Route: call-first (Sam) because D1 = 8; the email to info@ is a secondary touch addressed to Bill and Aaron. 9) Loader must run the GHL ghl-contacts.js dedupe; not possible from this session.</t>
        </is>
      </c>
      <c r="BR26" s="10" t="inlineStr"/>
      <c r="BS26" s="10" t="inlineStr"/>
      <c r="BT26" s="10" t="inlineStr"/>
    </row>
    <row r="27">
      <c r="D27" s="12" t="n"/>
      <c r="E27" s="12" t="n"/>
      <c r="G27" s="13">
        <f>IF(F27="","",IF(F27&gt;=80,"A — send today",IF(F27&gt;=60,"B — worth a touch",IF(F27&gt;=40,"C — hold","D — reject"))))</f>
        <v/>
      </c>
      <c r="BR27" s="12" t="n"/>
      <c r="BS27" s="12" t="n"/>
      <c r="BT27" s="12" t="n"/>
    </row>
    <row r="28">
      <c r="D28" s="12" t="n"/>
      <c r="E28" s="12" t="n"/>
      <c r="G28" s="13">
        <f>IF(F28="","",IF(F28&gt;=80,"A — send today",IF(F28&gt;=60,"B — worth a touch",IF(F28&gt;=40,"C — hold","D — reject"))))</f>
        <v/>
      </c>
      <c r="BR28" s="12" t="n"/>
      <c r="BS28" s="12" t="n"/>
      <c r="BT28" s="12" t="n"/>
    </row>
    <row r="29">
      <c r="D29" s="12" t="n"/>
      <c r="E29" s="12" t="n"/>
      <c r="G29" s="13">
        <f>IF(F29="","",IF(F29&gt;=80,"A — send today",IF(F29&gt;=60,"B — worth a touch",IF(F29&gt;=40,"C — hold","D — reject"))))</f>
        <v/>
      </c>
      <c r="BR29" s="12" t="n"/>
      <c r="BS29" s="12" t="n"/>
      <c r="BT29" s="12" t="n"/>
    </row>
    <row r="30">
      <c r="D30" s="12" t="n"/>
      <c r="E30" s="12" t="n"/>
      <c r="G30" s="13">
        <f>IF(F30="","",IF(F30&gt;=80,"A — send today",IF(F30&gt;=60,"B — worth a touch",IF(F30&gt;=40,"C — hold","D — reject"))))</f>
        <v/>
      </c>
      <c r="BR30" s="12" t="n"/>
      <c r="BS30" s="12" t="n"/>
      <c r="BT30" s="12" t="n"/>
    </row>
    <row r="31">
      <c r="D31" s="12" t="n"/>
      <c r="E31" s="12" t="n"/>
      <c r="G31" s="13">
        <f>IF(F31="","",IF(F31&gt;=80,"A — send today",IF(F31&gt;=60,"B — worth a touch",IF(F31&gt;=40,"C — hold","D — reject"))))</f>
        <v/>
      </c>
      <c r="BR31" s="12" t="n"/>
      <c r="BS31" s="12" t="n"/>
      <c r="BT31" s="12" t="n"/>
    </row>
    <row r="32">
      <c r="D32" s="12" t="n"/>
      <c r="E32" s="12" t="n"/>
      <c r="G32" s="13">
        <f>IF(F32="","",IF(F32&gt;=80,"A — send today",IF(F32&gt;=60,"B — worth a touch",IF(F32&gt;=40,"C — hold","D — reject"))))</f>
        <v/>
      </c>
      <c r="BR32" s="12" t="n"/>
      <c r="BS32" s="12" t="n"/>
      <c r="BT32" s="12" t="n"/>
    </row>
    <row r="33">
      <c r="D33" s="12" t="n"/>
      <c r="E33" s="12" t="n"/>
      <c r="G33" s="13">
        <f>IF(F33="","",IF(F33&gt;=80,"A — send today",IF(F33&gt;=60,"B — worth a touch",IF(F33&gt;=40,"C — hold","D — reject"))))</f>
        <v/>
      </c>
      <c r="BR33" s="12" t="n"/>
      <c r="BS33" s="12" t="n"/>
      <c r="BT33" s="12" t="n"/>
    </row>
    <row r="34">
      <c r="D34" s="12" t="n"/>
      <c r="E34" s="12" t="n"/>
      <c r="G34" s="13">
        <f>IF(F34="","",IF(F34&gt;=80,"A — send today",IF(F34&gt;=60,"B — worth a touch",IF(F34&gt;=40,"C — hold","D — reject"))))</f>
        <v/>
      </c>
      <c r="BR34" s="12" t="n"/>
      <c r="BS34" s="12" t="n"/>
      <c r="BT34" s="12" t="n"/>
    </row>
    <row r="35">
      <c r="D35" s="12" t="n"/>
      <c r="E35" s="12" t="n"/>
      <c r="G35" s="13">
        <f>IF(F35="","",IF(F35&gt;=80,"A — send today",IF(F35&gt;=60,"B — worth a touch",IF(F35&gt;=40,"C — hold","D — reject"))))</f>
        <v/>
      </c>
      <c r="BR35" s="12" t="n"/>
      <c r="BS35" s="12" t="n"/>
      <c r="BT35" s="12" t="n"/>
    </row>
    <row r="36">
      <c r="D36" s="12" t="n"/>
      <c r="E36" s="12" t="n"/>
      <c r="G36" s="13">
        <f>IF(F36="","",IF(F36&gt;=80,"A — send today",IF(F36&gt;=60,"B — worth a touch",IF(F36&gt;=40,"C — hold","D — reject"))))</f>
        <v/>
      </c>
      <c r="BR36" s="12" t="n"/>
      <c r="BS36" s="12" t="n"/>
      <c r="BT36" s="12" t="n"/>
    </row>
    <row r="37">
      <c r="D37" s="12" t="n"/>
      <c r="E37" s="12" t="n"/>
      <c r="G37" s="13">
        <f>IF(F37="","",IF(F37&gt;=80,"A — send today",IF(F37&gt;=60,"B — worth a touch",IF(F37&gt;=40,"C — hold","D — reject"))))</f>
        <v/>
      </c>
      <c r="BR37" s="12" t="n"/>
      <c r="BS37" s="12" t="n"/>
      <c r="BT37" s="12" t="n"/>
    </row>
    <row r="38">
      <c r="D38" s="12" t="n"/>
      <c r="E38" s="12" t="n"/>
      <c r="G38" s="13">
        <f>IF(F38="","",IF(F38&gt;=80,"A — send today",IF(F38&gt;=60,"B — worth a touch",IF(F38&gt;=40,"C — hold","D — reject"))))</f>
        <v/>
      </c>
      <c r="BR38" s="12" t="n"/>
      <c r="BS38" s="12" t="n"/>
      <c r="BT38" s="12" t="n"/>
    </row>
    <row r="39">
      <c r="D39" s="12" t="n"/>
      <c r="E39" s="12" t="n"/>
      <c r="G39" s="13">
        <f>IF(F39="","",IF(F39&gt;=80,"A — send today",IF(F39&gt;=60,"B — worth a touch",IF(F39&gt;=40,"C — hold","D — reject"))))</f>
        <v/>
      </c>
      <c r="BR39" s="12" t="n"/>
      <c r="BS39" s="12" t="n"/>
      <c r="BT39" s="12" t="n"/>
    </row>
    <row r="40">
      <c r="D40" s="12" t="n"/>
      <c r="E40" s="12" t="n"/>
      <c r="G40" s="13">
        <f>IF(F40="","",IF(F40&gt;=80,"A — send today",IF(F40&gt;=60,"B — worth a touch",IF(F40&gt;=40,"C — hold","D — reject"))))</f>
        <v/>
      </c>
      <c r="BR40" s="12" t="n"/>
      <c r="BS40" s="12" t="n"/>
      <c r="BT40" s="12" t="n"/>
    </row>
    <row r="41">
      <c r="D41" s="12" t="n"/>
      <c r="E41" s="12" t="n"/>
      <c r="G41" s="13">
        <f>IF(F41="","",IF(F41&gt;=80,"A — send today",IF(F41&gt;=60,"B — worth a touch",IF(F41&gt;=40,"C — hold","D — reject"))))</f>
        <v/>
      </c>
      <c r="BR41" s="12" t="n"/>
      <c r="BS41" s="12" t="n"/>
      <c r="BT41" s="12" t="n"/>
    </row>
    <row r="42">
      <c r="D42" s="12" t="n"/>
      <c r="E42" s="12" t="n"/>
      <c r="G42" s="13">
        <f>IF(F42="","",IF(F42&gt;=80,"A — send today",IF(F42&gt;=60,"B — worth a touch",IF(F42&gt;=40,"C — hold","D — reject"))))</f>
        <v/>
      </c>
      <c r="BR42" s="12" t="n"/>
      <c r="BS42" s="12" t="n"/>
      <c r="BT42" s="12" t="n"/>
    </row>
    <row r="43">
      <c r="D43" s="12" t="n"/>
      <c r="E43" s="12" t="n"/>
      <c r="G43" s="13">
        <f>IF(F43="","",IF(F43&gt;=80,"A — send today",IF(F43&gt;=60,"B — worth a touch",IF(F43&gt;=40,"C — hold","D — reject"))))</f>
        <v/>
      </c>
      <c r="BR43" s="12" t="n"/>
      <c r="BS43" s="12" t="n"/>
      <c r="BT43" s="12" t="n"/>
    </row>
    <row r="44">
      <c r="D44" s="12" t="n"/>
      <c r="E44" s="12" t="n"/>
      <c r="G44" s="13">
        <f>IF(F44="","",IF(F44&gt;=80,"A — send today",IF(F44&gt;=60,"B — worth a touch",IF(F44&gt;=40,"C — hold","D — reject"))))</f>
        <v/>
      </c>
      <c r="BR44" s="12" t="n"/>
      <c r="BS44" s="12" t="n"/>
      <c r="BT44" s="12" t="n"/>
    </row>
    <row r="45">
      <c r="D45" s="12" t="n"/>
      <c r="E45" s="12" t="n"/>
      <c r="G45" s="13">
        <f>IF(F45="","",IF(F45&gt;=80,"A — send today",IF(F45&gt;=60,"B — worth a touch",IF(F45&gt;=40,"C — hold","D — reject"))))</f>
        <v/>
      </c>
      <c r="BR45" s="12" t="n"/>
      <c r="BS45" s="12" t="n"/>
      <c r="BT45" s="12" t="n"/>
    </row>
    <row r="46">
      <c r="D46" s="12" t="n"/>
      <c r="E46" s="12" t="n"/>
      <c r="G46" s="13">
        <f>IF(F46="","",IF(F46&gt;=80,"A — send today",IF(F46&gt;=60,"B — worth a touch",IF(F46&gt;=40,"C — hold","D — reject"))))</f>
        <v/>
      </c>
      <c r="BR46" s="12" t="n"/>
      <c r="BS46" s="12" t="n"/>
      <c r="BT46" s="12" t="n"/>
    </row>
    <row r="47">
      <c r="D47" s="12" t="n"/>
      <c r="E47" s="12" t="n"/>
      <c r="G47" s="13">
        <f>IF(F47="","",IF(F47&gt;=80,"A — send today",IF(F47&gt;=60,"B — worth a touch",IF(F47&gt;=40,"C — hold","D — reject"))))</f>
        <v/>
      </c>
      <c r="BR47" s="12" t="n"/>
      <c r="BS47" s="12" t="n"/>
      <c r="BT47" s="12" t="n"/>
    </row>
    <row r="48">
      <c r="D48" s="12" t="n"/>
      <c r="E48" s="12" t="n"/>
      <c r="G48" s="13">
        <f>IF(F48="","",IF(F48&gt;=80,"A — send today",IF(F48&gt;=60,"B — worth a touch",IF(F48&gt;=40,"C — hold","D — reject"))))</f>
        <v/>
      </c>
      <c r="BR48" s="12" t="n"/>
      <c r="BS48" s="12" t="n"/>
      <c r="BT48" s="12" t="n"/>
    </row>
    <row r="49">
      <c r="D49" s="12" t="n"/>
      <c r="E49" s="12" t="n"/>
      <c r="G49" s="13">
        <f>IF(F49="","",IF(F49&gt;=80,"A — send today",IF(F49&gt;=60,"B — worth a touch",IF(F49&gt;=40,"C — hold","D — reject"))))</f>
        <v/>
      </c>
      <c r="BR49" s="12" t="n"/>
      <c r="BS49" s="12" t="n"/>
      <c r="BT49" s="12" t="n"/>
    </row>
    <row r="50">
      <c r="D50" s="12" t="n"/>
      <c r="E50" s="12" t="n"/>
      <c r="G50" s="13">
        <f>IF(F50="","",IF(F50&gt;=80,"A — send today",IF(F50&gt;=60,"B — worth a touch",IF(F50&gt;=40,"C — hold","D — reject"))))</f>
        <v/>
      </c>
      <c r="BR50" s="12" t="n"/>
      <c r="BS50" s="12" t="n"/>
      <c r="BT50" s="12" t="n"/>
    </row>
    <row r="51">
      <c r="D51" s="12" t="n"/>
      <c r="E51" s="12" t="n"/>
      <c r="G51" s="13">
        <f>IF(F51="","",IF(F51&gt;=80,"A — send today",IF(F51&gt;=60,"B — worth a touch",IF(F51&gt;=40,"C — hold","D — reject"))))</f>
        <v/>
      </c>
      <c r="BR51" s="12" t="n"/>
      <c r="BS51" s="12" t="n"/>
      <c r="BT51" s="12" t="n"/>
    </row>
    <row r="52">
      <c r="D52" s="12" t="n"/>
      <c r="E52" s="12" t="n"/>
      <c r="G52" s="13">
        <f>IF(F52="","",IF(F52&gt;=80,"A — send today",IF(F52&gt;=60,"B — worth a touch",IF(F52&gt;=40,"C — hold","D — reject"))))</f>
        <v/>
      </c>
      <c r="BR52" s="12" t="n"/>
      <c r="BS52" s="12" t="n"/>
      <c r="BT52" s="12" t="n"/>
    </row>
    <row r="53">
      <c r="D53" s="12" t="n"/>
      <c r="E53" s="12" t="n"/>
      <c r="G53" s="13">
        <f>IF(F53="","",IF(F53&gt;=80,"A — send today",IF(F53&gt;=60,"B — worth a touch",IF(F53&gt;=40,"C — hold","D — reject"))))</f>
        <v/>
      </c>
      <c r="BR53" s="12" t="n"/>
      <c r="BS53" s="12" t="n"/>
      <c r="BT53" s="12" t="n"/>
    </row>
    <row r="54">
      <c r="D54" s="12" t="n"/>
      <c r="E54" s="12" t="n"/>
      <c r="G54" s="13">
        <f>IF(F54="","",IF(F54&gt;=80,"A — send today",IF(F54&gt;=60,"B — worth a touch",IF(F54&gt;=40,"C — hold","D — reject"))))</f>
        <v/>
      </c>
      <c r="BR54" s="12" t="n"/>
      <c r="BS54" s="12" t="n"/>
      <c r="BT54" s="12" t="n"/>
    </row>
    <row r="55">
      <c r="D55" s="12" t="n"/>
      <c r="E55" s="12" t="n"/>
      <c r="G55" s="13">
        <f>IF(F55="","",IF(F55&gt;=80,"A — send today",IF(F55&gt;=60,"B — worth a touch",IF(F55&gt;=40,"C — hold","D — reject"))))</f>
        <v/>
      </c>
      <c r="BR55" s="12" t="n"/>
      <c r="BS55" s="12" t="n"/>
      <c r="BT55" s="12" t="n"/>
    </row>
    <row r="56">
      <c r="D56" s="12" t="n"/>
      <c r="E56" s="12" t="n"/>
      <c r="G56" s="13">
        <f>IF(F56="","",IF(F56&gt;=80,"A — send today",IF(F56&gt;=60,"B — worth a touch",IF(F56&gt;=40,"C — hold","D — reject"))))</f>
        <v/>
      </c>
      <c r="BR56" s="12" t="n"/>
      <c r="BS56" s="12" t="n"/>
      <c r="BT56" s="12" t="n"/>
    </row>
    <row r="57">
      <c r="D57" s="12" t="n"/>
      <c r="E57" s="12" t="n"/>
      <c r="G57" s="13">
        <f>IF(F57="","",IF(F57&gt;=80,"A — send today",IF(F57&gt;=60,"B — worth a touch",IF(F57&gt;=40,"C — hold","D — reject"))))</f>
        <v/>
      </c>
      <c r="BR57" s="12" t="n"/>
      <c r="BS57" s="12" t="n"/>
      <c r="BT57" s="12" t="n"/>
    </row>
    <row r="58">
      <c r="D58" s="12" t="n"/>
      <c r="E58" s="12" t="n"/>
      <c r="G58" s="13">
        <f>IF(F58="","",IF(F58&gt;=80,"A — send today",IF(F58&gt;=60,"B — worth a touch",IF(F58&gt;=40,"C — hold","D — reject"))))</f>
        <v/>
      </c>
      <c r="BR58" s="12" t="n"/>
      <c r="BS58" s="12" t="n"/>
      <c r="BT58" s="12" t="n"/>
    </row>
    <row r="59">
      <c r="D59" s="12" t="n"/>
      <c r="E59" s="12" t="n"/>
      <c r="G59" s="13">
        <f>IF(F59="","",IF(F59&gt;=80,"A — send today",IF(F59&gt;=60,"B — worth a touch",IF(F59&gt;=40,"C — hold","D — reject"))))</f>
        <v/>
      </c>
      <c r="BR59" s="12" t="n"/>
      <c r="BS59" s="12" t="n"/>
      <c r="BT59" s="12" t="n"/>
    </row>
    <row r="60">
      <c r="D60" s="12" t="n"/>
      <c r="E60" s="12" t="n"/>
      <c r="G60" s="13">
        <f>IF(F60="","",IF(F60&gt;=80,"A — send today",IF(F60&gt;=60,"B — worth a touch",IF(F60&gt;=40,"C — hold","D — reject"))))</f>
        <v/>
      </c>
      <c r="BR60" s="12" t="n"/>
      <c r="BS60" s="12" t="n"/>
      <c r="BT60" s="12" t="n"/>
    </row>
    <row r="61">
      <c r="D61" s="12" t="n"/>
      <c r="E61" s="12" t="n"/>
      <c r="G61" s="13">
        <f>IF(F61="","",IF(F61&gt;=80,"A — send today",IF(F61&gt;=60,"B — worth a touch",IF(F61&gt;=40,"C — hold","D — reject"))))</f>
        <v/>
      </c>
      <c r="BR61" s="12" t="n"/>
      <c r="BS61" s="12" t="n"/>
      <c r="BT61" s="12" t="n"/>
    </row>
  </sheetData>
  <autoFilter ref="A1:BT61"/>
  <conditionalFormatting sqref="F2:F61">
    <cfRule type="cellIs" priority="1" operator="greaterThanOrEqual" dxfId="0">
      <formula>80</formula>
    </cfRule>
    <cfRule type="cellIs" priority="2" operator="between" dxfId="1">
      <formula>60</formula>
      <formula>79.999</formula>
    </cfRule>
    <cfRule type="cellIs" priority="3" operator="lessThan" dxfId="2">
      <formula>60</formula>
    </cfRule>
  </conditionalFormatting>
  <conditionalFormatting sqref="D2:D61">
    <cfRule type="expression" priority="4" dxfId="0">
      <formula>D2="Approve"</formula>
    </cfRule>
    <cfRule type="expression" priority="5" dxfId="2">
      <formula>D2="Reject"</formula>
    </cfRule>
    <cfRule type="expression" priority="6" dxfId="1">
      <formula>D2="Hold"</formula>
    </cfRule>
  </conditionalFormatting>
  <dataValidations count="9">
    <dataValidation sqref="D2:D61" showDropDown="0" showInputMessage="0" showErrorMessage="0" allowBlank="1" errorTitle="Invalid value" error="Pick one of the listed values" type="list">
      <formula1>"Approve,Hold,Reject"</formula1>
    </dataValidation>
    <dataValidation sqref="E2:E61" showDropDown="0" showInputMessage="0" showErrorMessage="0" allowBlank="1" errorTitle="Invalid value" error="Pick one of the listed values" type="list">
      <formula1>"New,Reviewed,Loaded to GHL,Emailed,Called,Replied,Booked,Dead"</formula1>
    </dataValidation>
    <dataValidation sqref="M2:M61" showDropDown="0" showInputMessage="0" showErrorMessage="0" allowBlank="1" errorTitle="Invalid value" error="Pick one of the listed values" type="list">
      <formula1>"Personal (named),Role (owner@/sales@),Generic (info@/office@),None found"</formula1>
    </dataValidation>
    <dataValidation sqref="N2:N61" showDropDown="0" showInputMessage="0" showErrorMessage="0" allowBlank="1" errorTitle="Invalid value" error="Pick one of the listed values" type="list">
      <formula1>"Confirmed,Likely,Unverified,Not found"</formula1>
    </dataValidation>
    <dataValidation sqref="R2:R61" showDropDown="0" showInputMessage="0" showErrorMessage="0" allowBlank="1" errorTitle="Invalid value" error="Pick one of the listed values" type="list">
      <formula1>"core,extend"</formula1>
    </dataValidation>
    <dataValidation sqref="W2:W61" showDropDown="0" showInputMessage="0" showErrorMessage="0" allowBlank="1" errorTitle="Invalid value" error="Pick one of the listed values" type="list">
      <formula1>"Voice AI live demo,Free GEO audit,Revenue Leak Scorecard,Speed-to-lead automation,AI-readable site build"</formula1>
    </dataValidation>
    <dataValidation sqref="X2:X61" showDropDown="0" showInputMessage="0" showErrorMessage="0" allowBlank="1" errorTitle="Invalid value" error="Pick one of the listed values" type="list">
      <formula1>"Recover,Accelerate,Own,À la carte"</formula1>
    </dataValidation>
    <dataValidation sqref="AN2:AN61" showDropDown="0" showInputMessage="0" showErrorMessage="0" allowBlank="1" errorTitle="Invalid value" error="Pick one of the listed values" type="list">
      <formula1>"Owner-operator,Owner (absentee / multi-business),Manager / non-owner decision-maker,Unknown"</formula1>
    </dataValidation>
    <dataValidation sqref="BP2:BP61" showDropDown="0" showInputMessage="0" showErrorMessage="0" allowBlank="1" errorTitle="Invalid value" error="Pick one of the listed values" type="list">
      <formula1>"High,Medium,Low"</formula1>
    </dataValidation>
  </dataValidations>
  <pageMargins left="0.75" right="0.75" top="1" bottom="1" header="0.5" footer="0.5"/>
  <legacyDrawing xmlns:r="http://schemas.openxmlformats.org/officeDocument/2006/relationships" r:id="anysvml"/>
</worksheet>
</file>

<file path=xl/worksheets/sheet4.xml><?xml version="1.0" encoding="utf-8"?>
<worksheet xmlns="http://schemas.openxmlformats.org/spreadsheetml/2006/main">
  <sheetPr>
    <outlinePr summaryBelow="1" summaryRight="1"/>
    <pageSetUpPr/>
  </sheetPr>
  <dimension ref="A1:V6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4" customWidth="1" min="1" max="1"/>
    <col width="20" customWidth="1" min="2" max="2"/>
    <col width="20" customWidth="1" min="3" max="3"/>
    <col width="28" customWidth="1" min="4" max="4"/>
    <col width="17" customWidth="1" min="5" max="5"/>
    <col width="28" customWidth="1" min="6" max="6"/>
    <col width="30" customWidth="1" min="7" max="7"/>
    <col width="28" customWidth="1" min="8" max="8"/>
    <col width="20" customWidth="1" min="9" max="9"/>
    <col width="7" customWidth="1" min="10" max="10"/>
    <col width="10" customWidth="1" min="11" max="11"/>
    <col width="20" customWidth="1" min="12" max="12"/>
    <col width="60" customWidth="1" min="13" max="13"/>
    <col width="14" customWidth="1" min="14" max="14"/>
    <col width="10" customWidth="1" min="15" max="15"/>
    <col width="22" customWidth="1" min="16" max="16"/>
    <col width="22" customWidth="1" min="17" max="17"/>
    <col width="30" customWidth="1" min="18" max="18"/>
    <col width="40" customWidth="1" min="19" max="19"/>
    <col width="50" customWidth="1" min="20" max="20"/>
    <col width="50" customWidth="1" min="21" max="21"/>
    <col width="16" customWidth="1" min="22" max="22"/>
  </cols>
  <sheetData>
    <row r="1" ht="32" customHeight="1">
      <c r="A1" s="7" t="inlineStr">
        <is>
          <t>Review Decision</t>
        </is>
      </c>
      <c r="B1" s="7" t="inlineStr">
        <is>
          <t>First Name</t>
        </is>
      </c>
      <c r="C1" s="7" t="inlineStr">
        <is>
          <t>Last Name</t>
        </is>
      </c>
      <c r="D1" s="7" t="inlineStr">
        <is>
          <t>Email</t>
        </is>
      </c>
      <c r="E1" s="7" t="inlineStr">
        <is>
          <t>Phone</t>
        </is>
      </c>
      <c r="F1" s="7" t="inlineStr">
        <is>
          <t>Company Name</t>
        </is>
      </c>
      <c r="G1" s="7" t="inlineStr">
        <is>
          <t>Website</t>
        </is>
      </c>
      <c r="H1" s="7" t="inlineStr">
        <is>
          <t>Address</t>
        </is>
      </c>
      <c r="I1" s="7" t="inlineStr">
        <is>
          <t>City</t>
        </is>
      </c>
      <c r="J1" s="7" t="inlineStr">
        <is>
          <t>State</t>
        </is>
      </c>
      <c r="K1" s="7" t="inlineStr">
        <is>
          <t>Postal Code</t>
        </is>
      </c>
      <c r="L1" s="7" t="inlineStr">
        <is>
          <t>Source</t>
        </is>
      </c>
      <c r="M1" s="7" t="inlineStr">
        <is>
          <t>Tags</t>
        </is>
      </c>
      <c r="N1" s="7" t="inlineStr">
        <is>
          <t>LM Lead ID</t>
        </is>
      </c>
      <c r="O1" s="7" t="inlineStr">
        <is>
          <t>LM Lead Score</t>
        </is>
      </c>
      <c r="P1" s="7" t="inlineStr">
        <is>
          <t>LM Attitude</t>
        </is>
      </c>
      <c r="Q1" s="7" t="inlineStr">
        <is>
          <t>LM Entry Offer</t>
        </is>
      </c>
      <c r="R1" s="7" t="inlineStr">
        <is>
          <t>LM Owner LinkedIn</t>
        </is>
      </c>
      <c r="S1" s="7" t="inlineStr">
        <is>
          <t>LM Why Now</t>
        </is>
      </c>
      <c r="T1" s="7" t="inlineStr">
        <is>
          <t>LM First Line</t>
        </is>
      </c>
      <c r="U1" s="7" t="inlineStr">
        <is>
          <t>LM Call Angle</t>
        </is>
      </c>
      <c r="V1" s="7" t="inlineStr">
        <is>
          <t>LM Owner Title</t>
        </is>
      </c>
    </row>
    <row r="2">
      <c r="A2" s="13">
        <f>IF(Leads!D2="","",Leads!D2)</f>
        <v/>
      </c>
      <c r="B2" s="13">
        <f>IF(Leads!I2="","",Leads!I2)</f>
        <v/>
      </c>
      <c r="C2" s="13">
        <f>IF(Leads!J2="","",Leads!J2)</f>
        <v/>
      </c>
      <c r="D2" s="13">
        <f>IF(OR(Leads!L2="",Leads!L2="Not found"),IF(OR(Leads!AR2="",Leads!AR2="Not found"),"",Leads!AR2),Leads!L2)</f>
        <v/>
      </c>
      <c r="E2" s="13">
        <f>IF(OR(Leads!O2="",Leads!O2="Not found"),Leads!P2,Leads!O2)</f>
        <v/>
      </c>
      <c r="F2" s="13">
        <f>IF(Leads!H2="","",Leads!H2)</f>
        <v/>
      </c>
      <c r="G2" s="13">
        <f>IF(Leads!AQ2="","",Leads!AQ2)</f>
        <v/>
      </c>
      <c r="H2" s="13">
        <f>IF(Leads!AS2="","",Leads!AS2)</f>
        <v/>
      </c>
      <c r="I2" s="13">
        <f>IF(Leads!S2="","",Leads!S2)</f>
        <v/>
      </c>
      <c r="J2" s="13">
        <f>IF(Leads!T2="","",Leads!T2)</f>
        <v/>
      </c>
      <c r="K2" s="13">
        <f>IF(Leads!AT2="","",Leads!AT2)</f>
        <v/>
      </c>
      <c r="L2" s="13" t="inlineStr">
        <is>
          <t>cold-outreach:lead-machine</t>
        </is>
      </c>
      <c r="M2" s="13">
        <f>IF(Leads!H2="","","cold-outreach,lead-machine,status:drafted,industry:"&amp;LOWER(SUBSTITUTE(SUBSTITUTE(SUBSTITUTE(TRIM(Leads!Q2)," ","-"),"/","-"),"&amp;","and"))&amp;",city:"&amp;LOWER(SUBSTITUTE(TRIM(Leads!S2)," ","-"))&amp;",entry:"&amp;LOWER(SUBSTITUTE(TRIM(Leads!W2)," ","-"))&amp;",attitude:"&amp;LOWER(SUBSTITUTE(SUBSTITUTE(TRIM(Leads!V2)," ","-"),"/","-")))</f>
        <v/>
      </c>
      <c r="N2" s="13">
        <f>IF(Leads!A2="","",Leads!A2)</f>
        <v/>
      </c>
      <c r="O2" s="13">
        <f>IF(Leads!F2="","",Leads!F2)</f>
        <v/>
      </c>
      <c r="P2" s="13">
        <f>IF(Leads!V2="","",Leads!V2)</f>
        <v/>
      </c>
      <c r="Q2" s="13">
        <f>IF(Leads!W2="","",Leads!W2)</f>
        <v/>
      </c>
      <c r="R2" s="13">
        <f>IF(Leads!AO2="","",Leads!AO2)</f>
        <v/>
      </c>
      <c r="S2" s="13">
        <f>IF(Leads!U2="","",Leads!U2)</f>
        <v/>
      </c>
      <c r="T2" s="13">
        <f>IF(Leads!Z2="","",Leads!Z2)</f>
        <v/>
      </c>
      <c r="U2" s="13">
        <f>IF(Leads!AA2="","",Leads!AA2)</f>
        <v/>
      </c>
      <c r="V2" s="13">
        <f>IF(Leads!K2="","",Leads!K2)</f>
        <v/>
      </c>
    </row>
    <row r="3">
      <c r="A3" s="13">
        <f>IF(Leads!D3="","",Leads!D3)</f>
        <v/>
      </c>
      <c r="B3" s="13">
        <f>IF(Leads!I3="","",Leads!I3)</f>
        <v/>
      </c>
      <c r="C3" s="13">
        <f>IF(Leads!J3="","",Leads!J3)</f>
        <v/>
      </c>
      <c r="D3" s="13">
        <f>IF(OR(Leads!L3="",Leads!L3="Not found"),IF(OR(Leads!AR3="",Leads!AR3="Not found"),"",Leads!AR3),Leads!L3)</f>
        <v/>
      </c>
      <c r="E3" s="13">
        <f>IF(OR(Leads!O3="",Leads!O3="Not found"),Leads!P3,Leads!O3)</f>
        <v/>
      </c>
      <c r="F3" s="13">
        <f>IF(Leads!H3="","",Leads!H3)</f>
        <v/>
      </c>
      <c r="G3" s="13">
        <f>IF(Leads!AQ3="","",Leads!AQ3)</f>
        <v/>
      </c>
      <c r="H3" s="13">
        <f>IF(Leads!AS3="","",Leads!AS3)</f>
        <v/>
      </c>
      <c r="I3" s="13">
        <f>IF(Leads!S3="","",Leads!S3)</f>
        <v/>
      </c>
      <c r="J3" s="13">
        <f>IF(Leads!T3="","",Leads!T3)</f>
        <v/>
      </c>
      <c r="K3" s="13">
        <f>IF(Leads!AT3="","",Leads!AT3)</f>
        <v/>
      </c>
      <c r="L3" s="13" t="inlineStr">
        <is>
          <t>cold-outreach:lead-machine</t>
        </is>
      </c>
      <c r="M3" s="13">
        <f>IF(Leads!H3="","","cold-outreach,lead-machine,status:drafted,industry:"&amp;LOWER(SUBSTITUTE(SUBSTITUTE(SUBSTITUTE(TRIM(Leads!Q3)," ","-"),"/","-"),"&amp;","and"))&amp;",city:"&amp;LOWER(SUBSTITUTE(TRIM(Leads!S3)," ","-"))&amp;",entry:"&amp;LOWER(SUBSTITUTE(TRIM(Leads!W3)," ","-"))&amp;",attitude:"&amp;LOWER(SUBSTITUTE(SUBSTITUTE(TRIM(Leads!V3)," ","-"),"/","-")))</f>
        <v/>
      </c>
      <c r="N3" s="13">
        <f>IF(Leads!A3="","",Leads!A3)</f>
        <v/>
      </c>
      <c r="O3" s="13">
        <f>IF(Leads!F3="","",Leads!F3)</f>
        <v/>
      </c>
      <c r="P3" s="13">
        <f>IF(Leads!V3="","",Leads!V3)</f>
        <v/>
      </c>
      <c r="Q3" s="13">
        <f>IF(Leads!W3="","",Leads!W3)</f>
        <v/>
      </c>
      <c r="R3" s="13">
        <f>IF(Leads!AO3="","",Leads!AO3)</f>
        <v/>
      </c>
      <c r="S3" s="13">
        <f>IF(Leads!U3="","",Leads!U3)</f>
        <v/>
      </c>
      <c r="T3" s="13">
        <f>IF(Leads!Z3="","",Leads!Z3)</f>
        <v/>
      </c>
      <c r="U3" s="13">
        <f>IF(Leads!AA3="","",Leads!AA3)</f>
        <v/>
      </c>
      <c r="V3" s="13">
        <f>IF(Leads!K3="","",Leads!K3)</f>
        <v/>
      </c>
    </row>
    <row r="4">
      <c r="A4" s="13">
        <f>IF(Leads!D4="","",Leads!D4)</f>
        <v/>
      </c>
      <c r="B4" s="13">
        <f>IF(Leads!I4="","",Leads!I4)</f>
        <v/>
      </c>
      <c r="C4" s="13">
        <f>IF(Leads!J4="","",Leads!J4)</f>
        <v/>
      </c>
      <c r="D4" s="13">
        <f>IF(OR(Leads!L4="",Leads!L4="Not found"),IF(OR(Leads!AR4="",Leads!AR4="Not found"),"",Leads!AR4),Leads!L4)</f>
        <v/>
      </c>
      <c r="E4" s="13">
        <f>IF(OR(Leads!O4="",Leads!O4="Not found"),Leads!P4,Leads!O4)</f>
        <v/>
      </c>
      <c r="F4" s="13">
        <f>IF(Leads!H4="","",Leads!H4)</f>
        <v/>
      </c>
      <c r="G4" s="13">
        <f>IF(Leads!AQ4="","",Leads!AQ4)</f>
        <v/>
      </c>
      <c r="H4" s="13">
        <f>IF(Leads!AS4="","",Leads!AS4)</f>
        <v/>
      </c>
      <c r="I4" s="13">
        <f>IF(Leads!S4="","",Leads!S4)</f>
        <v/>
      </c>
      <c r="J4" s="13">
        <f>IF(Leads!T4="","",Leads!T4)</f>
        <v/>
      </c>
      <c r="K4" s="13">
        <f>IF(Leads!AT4="","",Leads!AT4)</f>
        <v/>
      </c>
      <c r="L4" s="13" t="inlineStr">
        <is>
          <t>cold-outreach:lead-machine</t>
        </is>
      </c>
      <c r="M4" s="13">
        <f>IF(Leads!H4="","","cold-outreach,lead-machine,status:drafted,industry:"&amp;LOWER(SUBSTITUTE(SUBSTITUTE(SUBSTITUTE(TRIM(Leads!Q4)," ","-"),"/","-"),"&amp;","and"))&amp;",city:"&amp;LOWER(SUBSTITUTE(TRIM(Leads!S4)," ","-"))&amp;",entry:"&amp;LOWER(SUBSTITUTE(TRIM(Leads!W4)," ","-"))&amp;",attitude:"&amp;LOWER(SUBSTITUTE(SUBSTITUTE(TRIM(Leads!V4)," ","-"),"/","-")))</f>
        <v/>
      </c>
      <c r="N4" s="13">
        <f>IF(Leads!A4="","",Leads!A4)</f>
        <v/>
      </c>
      <c r="O4" s="13">
        <f>IF(Leads!F4="","",Leads!F4)</f>
        <v/>
      </c>
      <c r="P4" s="13">
        <f>IF(Leads!V4="","",Leads!V4)</f>
        <v/>
      </c>
      <c r="Q4" s="13">
        <f>IF(Leads!W4="","",Leads!W4)</f>
        <v/>
      </c>
      <c r="R4" s="13">
        <f>IF(Leads!AO4="","",Leads!AO4)</f>
        <v/>
      </c>
      <c r="S4" s="13">
        <f>IF(Leads!U4="","",Leads!U4)</f>
        <v/>
      </c>
      <c r="T4" s="13">
        <f>IF(Leads!Z4="","",Leads!Z4)</f>
        <v/>
      </c>
      <c r="U4" s="13">
        <f>IF(Leads!AA4="","",Leads!AA4)</f>
        <v/>
      </c>
      <c r="V4" s="13">
        <f>IF(Leads!K4="","",Leads!K4)</f>
        <v/>
      </c>
    </row>
    <row r="5">
      <c r="A5" s="13">
        <f>IF(Leads!D5="","",Leads!D5)</f>
        <v/>
      </c>
      <c r="B5" s="13">
        <f>IF(Leads!I5="","",Leads!I5)</f>
        <v/>
      </c>
      <c r="C5" s="13">
        <f>IF(Leads!J5="","",Leads!J5)</f>
        <v/>
      </c>
      <c r="D5" s="13">
        <f>IF(OR(Leads!L5="",Leads!L5="Not found"),IF(OR(Leads!AR5="",Leads!AR5="Not found"),"",Leads!AR5),Leads!L5)</f>
        <v/>
      </c>
      <c r="E5" s="13">
        <f>IF(OR(Leads!O5="",Leads!O5="Not found"),Leads!P5,Leads!O5)</f>
        <v/>
      </c>
      <c r="F5" s="13">
        <f>IF(Leads!H5="","",Leads!H5)</f>
        <v/>
      </c>
      <c r="G5" s="13">
        <f>IF(Leads!AQ5="","",Leads!AQ5)</f>
        <v/>
      </c>
      <c r="H5" s="13">
        <f>IF(Leads!AS5="","",Leads!AS5)</f>
        <v/>
      </c>
      <c r="I5" s="13">
        <f>IF(Leads!S5="","",Leads!S5)</f>
        <v/>
      </c>
      <c r="J5" s="13">
        <f>IF(Leads!T5="","",Leads!T5)</f>
        <v/>
      </c>
      <c r="K5" s="13">
        <f>IF(Leads!AT5="","",Leads!AT5)</f>
        <v/>
      </c>
      <c r="L5" s="13" t="inlineStr">
        <is>
          <t>cold-outreach:lead-machine</t>
        </is>
      </c>
      <c r="M5" s="13">
        <f>IF(Leads!H5="","","cold-outreach,lead-machine,status:drafted,industry:"&amp;LOWER(SUBSTITUTE(SUBSTITUTE(SUBSTITUTE(TRIM(Leads!Q5)," ","-"),"/","-"),"&amp;","and"))&amp;",city:"&amp;LOWER(SUBSTITUTE(TRIM(Leads!S5)," ","-"))&amp;",entry:"&amp;LOWER(SUBSTITUTE(TRIM(Leads!W5)," ","-"))&amp;",attitude:"&amp;LOWER(SUBSTITUTE(SUBSTITUTE(TRIM(Leads!V5)," ","-"),"/","-")))</f>
        <v/>
      </c>
      <c r="N5" s="13">
        <f>IF(Leads!A5="","",Leads!A5)</f>
        <v/>
      </c>
      <c r="O5" s="13">
        <f>IF(Leads!F5="","",Leads!F5)</f>
        <v/>
      </c>
      <c r="P5" s="13">
        <f>IF(Leads!V5="","",Leads!V5)</f>
        <v/>
      </c>
      <c r="Q5" s="13">
        <f>IF(Leads!W5="","",Leads!W5)</f>
        <v/>
      </c>
      <c r="R5" s="13">
        <f>IF(Leads!AO5="","",Leads!AO5)</f>
        <v/>
      </c>
      <c r="S5" s="13">
        <f>IF(Leads!U5="","",Leads!U5)</f>
        <v/>
      </c>
      <c r="T5" s="13">
        <f>IF(Leads!Z5="","",Leads!Z5)</f>
        <v/>
      </c>
      <c r="U5" s="13">
        <f>IF(Leads!AA5="","",Leads!AA5)</f>
        <v/>
      </c>
      <c r="V5" s="13">
        <f>IF(Leads!K5="","",Leads!K5)</f>
        <v/>
      </c>
    </row>
    <row r="6">
      <c r="A6" s="13">
        <f>IF(Leads!D6="","",Leads!D6)</f>
        <v/>
      </c>
      <c r="B6" s="13">
        <f>IF(Leads!I6="","",Leads!I6)</f>
        <v/>
      </c>
      <c r="C6" s="13">
        <f>IF(Leads!J6="","",Leads!J6)</f>
        <v/>
      </c>
      <c r="D6" s="13">
        <f>IF(OR(Leads!L6="",Leads!L6="Not found"),IF(OR(Leads!AR6="",Leads!AR6="Not found"),"",Leads!AR6),Leads!L6)</f>
        <v/>
      </c>
      <c r="E6" s="13">
        <f>IF(OR(Leads!O6="",Leads!O6="Not found"),Leads!P6,Leads!O6)</f>
        <v/>
      </c>
      <c r="F6" s="13">
        <f>IF(Leads!H6="","",Leads!H6)</f>
        <v/>
      </c>
      <c r="G6" s="13">
        <f>IF(Leads!AQ6="","",Leads!AQ6)</f>
        <v/>
      </c>
      <c r="H6" s="13">
        <f>IF(Leads!AS6="","",Leads!AS6)</f>
        <v/>
      </c>
      <c r="I6" s="13">
        <f>IF(Leads!S6="","",Leads!S6)</f>
        <v/>
      </c>
      <c r="J6" s="13">
        <f>IF(Leads!T6="","",Leads!T6)</f>
        <v/>
      </c>
      <c r="K6" s="13">
        <f>IF(Leads!AT6="","",Leads!AT6)</f>
        <v/>
      </c>
      <c r="L6" s="13" t="inlineStr">
        <is>
          <t>cold-outreach:lead-machine</t>
        </is>
      </c>
      <c r="M6" s="13">
        <f>IF(Leads!H6="","","cold-outreach,lead-machine,status:drafted,industry:"&amp;LOWER(SUBSTITUTE(SUBSTITUTE(SUBSTITUTE(TRIM(Leads!Q6)," ","-"),"/","-"),"&amp;","and"))&amp;",city:"&amp;LOWER(SUBSTITUTE(TRIM(Leads!S6)," ","-"))&amp;",entry:"&amp;LOWER(SUBSTITUTE(TRIM(Leads!W6)," ","-"))&amp;",attitude:"&amp;LOWER(SUBSTITUTE(SUBSTITUTE(TRIM(Leads!V6)," ","-"),"/","-")))</f>
        <v/>
      </c>
      <c r="N6" s="13">
        <f>IF(Leads!A6="","",Leads!A6)</f>
        <v/>
      </c>
      <c r="O6" s="13">
        <f>IF(Leads!F6="","",Leads!F6)</f>
        <v/>
      </c>
      <c r="P6" s="13">
        <f>IF(Leads!V6="","",Leads!V6)</f>
        <v/>
      </c>
      <c r="Q6" s="13">
        <f>IF(Leads!W6="","",Leads!W6)</f>
        <v/>
      </c>
      <c r="R6" s="13">
        <f>IF(Leads!AO6="","",Leads!AO6)</f>
        <v/>
      </c>
      <c r="S6" s="13">
        <f>IF(Leads!U6="","",Leads!U6)</f>
        <v/>
      </c>
      <c r="T6" s="13">
        <f>IF(Leads!Z6="","",Leads!Z6)</f>
        <v/>
      </c>
      <c r="U6" s="13">
        <f>IF(Leads!AA6="","",Leads!AA6)</f>
        <v/>
      </c>
      <c r="V6" s="13">
        <f>IF(Leads!K6="","",Leads!K6)</f>
        <v/>
      </c>
    </row>
    <row r="7">
      <c r="A7" s="13">
        <f>IF(Leads!D7="","",Leads!D7)</f>
        <v/>
      </c>
      <c r="B7" s="13">
        <f>IF(Leads!I7="","",Leads!I7)</f>
        <v/>
      </c>
      <c r="C7" s="13">
        <f>IF(Leads!J7="","",Leads!J7)</f>
        <v/>
      </c>
      <c r="D7" s="13">
        <f>IF(OR(Leads!L7="",Leads!L7="Not found"),IF(OR(Leads!AR7="",Leads!AR7="Not found"),"",Leads!AR7),Leads!L7)</f>
        <v/>
      </c>
      <c r="E7" s="13">
        <f>IF(OR(Leads!O7="",Leads!O7="Not found"),Leads!P7,Leads!O7)</f>
        <v/>
      </c>
      <c r="F7" s="13">
        <f>IF(Leads!H7="","",Leads!H7)</f>
        <v/>
      </c>
      <c r="G7" s="13">
        <f>IF(Leads!AQ7="","",Leads!AQ7)</f>
        <v/>
      </c>
      <c r="H7" s="13">
        <f>IF(Leads!AS7="","",Leads!AS7)</f>
        <v/>
      </c>
      <c r="I7" s="13">
        <f>IF(Leads!S7="","",Leads!S7)</f>
        <v/>
      </c>
      <c r="J7" s="13">
        <f>IF(Leads!T7="","",Leads!T7)</f>
        <v/>
      </c>
      <c r="K7" s="13">
        <f>IF(Leads!AT7="","",Leads!AT7)</f>
        <v/>
      </c>
      <c r="L7" s="13" t="inlineStr">
        <is>
          <t>cold-outreach:lead-machine</t>
        </is>
      </c>
      <c r="M7" s="13">
        <f>IF(Leads!H7="","","cold-outreach,lead-machine,status:drafted,industry:"&amp;LOWER(SUBSTITUTE(SUBSTITUTE(SUBSTITUTE(TRIM(Leads!Q7)," ","-"),"/","-"),"&amp;","and"))&amp;",city:"&amp;LOWER(SUBSTITUTE(TRIM(Leads!S7)," ","-"))&amp;",entry:"&amp;LOWER(SUBSTITUTE(TRIM(Leads!W7)," ","-"))&amp;",attitude:"&amp;LOWER(SUBSTITUTE(SUBSTITUTE(TRIM(Leads!V7)," ","-"),"/","-")))</f>
        <v/>
      </c>
      <c r="N7" s="13">
        <f>IF(Leads!A7="","",Leads!A7)</f>
        <v/>
      </c>
      <c r="O7" s="13">
        <f>IF(Leads!F7="","",Leads!F7)</f>
        <v/>
      </c>
      <c r="P7" s="13">
        <f>IF(Leads!V7="","",Leads!V7)</f>
        <v/>
      </c>
      <c r="Q7" s="13">
        <f>IF(Leads!W7="","",Leads!W7)</f>
        <v/>
      </c>
      <c r="R7" s="13">
        <f>IF(Leads!AO7="","",Leads!AO7)</f>
        <v/>
      </c>
      <c r="S7" s="13">
        <f>IF(Leads!U7="","",Leads!U7)</f>
        <v/>
      </c>
      <c r="T7" s="13">
        <f>IF(Leads!Z7="","",Leads!Z7)</f>
        <v/>
      </c>
      <c r="U7" s="13">
        <f>IF(Leads!AA7="","",Leads!AA7)</f>
        <v/>
      </c>
      <c r="V7" s="13">
        <f>IF(Leads!K7="","",Leads!K7)</f>
        <v/>
      </c>
    </row>
    <row r="8">
      <c r="A8" s="13">
        <f>IF(Leads!D8="","",Leads!D8)</f>
        <v/>
      </c>
      <c r="B8" s="13">
        <f>IF(Leads!I8="","",Leads!I8)</f>
        <v/>
      </c>
      <c r="C8" s="13">
        <f>IF(Leads!J8="","",Leads!J8)</f>
        <v/>
      </c>
      <c r="D8" s="13">
        <f>IF(OR(Leads!L8="",Leads!L8="Not found"),IF(OR(Leads!AR8="",Leads!AR8="Not found"),"",Leads!AR8),Leads!L8)</f>
        <v/>
      </c>
      <c r="E8" s="13">
        <f>IF(OR(Leads!O8="",Leads!O8="Not found"),Leads!P8,Leads!O8)</f>
        <v/>
      </c>
      <c r="F8" s="13">
        <f>IF(Leads!H8="","",Leads!H8)</f>
        <v/>
      </c>
      <c r="G8" s="13">
        <f>IF(Leads!AQ8="","",Leads!AQ8)</f>
        <v/>
      </c>
      <c r="H8" s="13">
        <f>IF(Leads!AS8="","",Leads!AS8)</f>
        <v/>
      </c>
      <c r="I8" s="13">
        <f>IF(Leads!S8="","",Leads!S8)</f>
        <v/>
      </c>
      <c r="J8" s="13">
        <f>IF(Leads!T8="","",Leads!T8)</f>
        <v/>
      </c>
      <c r="K8" s="13">
        <f>IF(Leads!AT8="","",Leads!AT8)</f>
        <v/>
      </c>
      <c r="L8" s="13" t="inlineStr">
        <is>
          <t>cold-outreach:lead-machine</t>
        </is>
      </c>
      <c r="M8" s="13">
        <f>IF(Leads!H8="","","cold-outreach,lead-machine,status:drafted,industry:"&amp;LOWER(SUBSTITUTE(SUBSTITUTE(SUBSTITUTE(TRIM(Leads!Q8)," ","-"),"/","-"),"&amp;","and"))&amp;",city:"&amp;LOWER(SUBSTITUTE(TRIM(Leads!S8)," ","-"))&amp;",entry:"&amp;LOWER(SUBSTITUTE(TRIM(Leads!W8)," ","-"))&amp;",attitude:"&amp;LOWER(SUBSTITUTE(SUBSTITUTE(TRIM(Leads!V8)," ","-"),"/","-")))</f>
        <v/>
      </c>
      <c r="N8" s="13">
        <f>IF(Leads!A8="","",Leads!A8)</f>
        <v/>
      </c>
      <c r="O8" s="13">
        <f>IF(Leads!F8="","",Leads!F8)</f>
        <v/>
      </c>
      <c r="P8" s="13">
        <f>IF(Leads!V8="","",Leads!V8)</f>
        <v/>
      </c>
      <c r="Q8" s="13">
        <f>IF(Leads!W8="","",Leads!W8)</f>
        <v/>
      </c>
      <c r="R8" s="13">
        <f>IF(Leads!AO8="","",Leads!AO8)</f>
        <v/>
      </c>
      <c r="S8" s="13">
        <f>IF(Leads!U8="","",Leads!U8)</f>
        <v/>
      </c>
      <c r="T8" s="13">
        <f>IF(Leads!Z8="","",Leads!Z8)</f>
        <v/>
      </c>
      <c r="U8" s="13">
        <f>IF(Leads!AA8="","",Leads!AA8)</f>
        <v/>
      </c>
      <c r="V8" s="13">
        <f>IF(Leads!K8="","",Leads!K8)</f>
        <v/>
      </c>
    </row>
    <row r="9">
      <c r="A9" s="13">
        <f>IF(Leads!D9="","",Leads!D9)</f>
        <v/>
      </c>
      <c r="B9" s="13">
        <f>IF(Leads!I9="","",Leads!I9)</f>
        <v/>
      </c>
      <c r="C9" s="13">
        <f>IF(Leads!J9="","",Leads!J9)</f>
        <v/>
      </c>
      <c r="D9" s="13">
        <f>IF(OR(Leads!L9="",Leads!L9="Not found"),IF(OR(Leads!AR9="",Leads!AR9="Not found"),"",Leads!AR9),Leads!L9)</f>
        <v/>
      </c>
      <c r="E9" s="13">
        <f>IF(OR(Leads!O9="",Leads!O9="Not found"),Leads!P9,Leads!O9)</f>
        <v/>
      </c>
      <c r="F9" s="13">
        <f>IF(Leads!H9="","",Leads!H9)</f>
        <v/>
      </c>
      <c r="G9" s="13">
        <f>IF(Leads!AQ9="","",Leads!AQ9)</f>
        <v/>
      </c>
      <c r="H9" s="13">
        <f>IF(Leads!AS9="","",Leads!AS9)</f>
        <v/>
      </c>
      <c r="I9" s="13">
        <f>IF(Leads!S9="","",Leads!S9)</f>
        <v/>
      </c>
      <c r="J9" s="13">
        <f>IF(Leads!T9="","",Leads!T9)</f>
        <v/>
      </c>
      <c r="K9" s="13">
        <f>IF(Leads!AT9="","",Leads!AT9)</f>
        <v/>
      </c>
      <c r="L9" s="13" t="inlineStr">
        <is>
          <t>cold-outreach:lead-machine</t>
        </is>
      </c>
      <c r="M9" s="13">
        <f>IF(Leads!H9="","","cold-outreach,lead-machine,status:drafted,industry:"&amp;LOWER(SUBSTITUTE(SUBSTITUTE(SUBSTITUTE(TRIM(Leads!Q9)," ","-"),"/","-"),"&amp;","and"))&amp;",city:"&amp;LOWER(SUBSTITUTE(TRIM(Leads!S9)," ","-"))&amp;",entry:"&amp;LOWER(SUBSTITUTE(TRIM(Leads!W9)," ","-"))&amp;",attitude:"&amp;LOWER(SUBSTITUTE(SUBSTITUTE(TRIM(Leads!V9)," ","-"),"/","-")))</f>
        <v/>
      </c>
      <c r="N9" s="13">
        <f>IF(Leads!A9="","",Leads!A9)</f>
        <v/>
      </c>
      <c r="O9" s="13">
        <f>IF(Leads!F9="","",Leads!F9)</f>
        <v/>
      </c>
      <c r="P9" s="13">
        <f>IF(Leads!V9="","",Leads!V9)</f>
        <v/>
      </c>
      <c r="Q9" s="13">
        <f>IF(Leads!W9="","",Leads!W9)</f>
        <v/>
      </c>
      <c r="R9" s="13">
        <f>IF(Leads!AO9="","",Leads!AO9)</f>
        <v/>
      </c>
      <c r="S9" s="13">
        <f>IF(Leads!U9="","",Leads!U9)</f>
        <v/>
      </c>
      <c r="T9" s="13">
        <f>IF(Leads!Z9="","",Leads!Z9)</f>
        <v/>
      </c>
      <c r="U9" s="13">
        <f>IF(Leads!AA9="","",Leads!AA9)</f>
        <v/>
      </c>
      <c r="V9" s="13">
        <f>IF(Leads!K9="","",Leads!K9)</f>
        <v/>
      </c>
    </row>
    <row r="10">
      <c r="A10" s="13">
        <f>IF(Leads!D10="","",Leads!D10)</f>
        <v/>
      </c>
      <c r="B10" s="13">
        <f>IF(Leads!I10="","",Leads!I10)</f>
        <v/>
      </c>
      <c r="C10" s="13">
        <f>IF(Leads!J10="","",Leads!J10)</f>
        <v/>
      </c>
      <c r="D10" s="13">
        <f>IF(OR(Leads!L10="",Leads!L10="Not found"),IF(OR(Leads!AR10="",Leads!AR10="Not found"),"",Leads!AR10),Leads!L10)</f>
        <v/>
      </c>
      <c r="E10" s="13">
        <f>IF(OR(Leads!O10="",Leads!O10="Not found"),Leads!P10,Leads!O10)</f>
        <v/>
      </c>
      <c r="F10" s="13">
        <f>IF(Leads!H10="","",Leads!H10)</f>
        <v/>
      </c>
      <c r="G10" s="13">
        <f>IF(Leads!AQ10="","",Leads!AQ10)</f>
        <v/>
      </c>
      <c r="H10" s="13">
        <f>IF(Leads!AS10="","",Leads!AS10)</f>
        <v/>
      </c>
      <c r="I10" s="13">
        <f>IF(Leads!S10="","",Leads!S10)</f>
        <v/>
      </c>
      <c r="J10" s="13">
        <f>IF(Leads!T10="","",Leads!T10)</f>
        <v/>
      </c>
      <c r="K10" s="13">
        <f>IF(Leads!AT10="","",Leads!AT10)</f>
        <v/>
      </c>
      <c r="L10" s="13" t="inlineStr">
        <is>
          <t>cold-outreach:lead-machine</t>
        </is>
      </c>
      <c r="M10" s="13">
        <f>IF(Leads!H10="","","cold-outreach,lead-machine,status:drafted,industry:"&amp;LOWER(SUBSTITUTE(SUBSTITUTE(SUBSTITUTE(TRIM(Leads!Q10)," ","-"),"/","-"),"&amp;","and"))&amp;",city:"&amp;LOWER(SUBSTITUTE(TRIM(Leads!S10)," ","-"))&amp;",entry:"&amp;LOWER(SUBSTITUTE(TRIM(Leads!W10)," ","-"))&amp;",attitude:"&amp;LOWER(SUBSTITUTE(SUBSTITUTE(TRIM(Leads!V10)," ","-"),"/","-")))</f>
        <v/>
      </c>
      <c r="N10" s="13">
        <f>IF(Leads!A10="","",Leads!A10)</f>
        <v/>
      </c>
      <c r="O10" s="13">
        <f>IF(Leads!F10="","",Leads!F10)</f>
        <v/>
      </c>
      <c r="P10" s="13">
        <f>IF(Leads!V10="","",Leads!V10)</f>
        <v/>
      </c>
      <c r="Q10" s="13">
        <f>IF(Leads!W10="","",Leads!W10)</f>
        <v/>
      </c>
      <c r="R10" s="13">
        <f>IF(Leads!AO10="","",Leads!AO10)</f>
        <v/>
      </c>
      <c r="S10" s="13">
        <f>IF(Leads!U10="","",Leads!U10)</f>
        <v/>
      </c>
      <c r="T10" s="13">
        <f>IF(Leads!Z10="","",Leads!Z10)</f>
        <v/>
      </c>
      <c r="U10" s="13">
        <f>IF(Leads!AA10="","",Leads!AA10)</f>
        <v/>
      </c>
      <c r="V10" s="13">
        <f>IF(Leads!K10="","",Leads!K10)</f>
        <v/>
      </c>
    </row>
    <row r="11">
      <c r="A11" s="13">
        <f>IF(Leads!D11="","",Leads!D11)</f>
        <v/>
      </c>
      <c r="B11" s="13">
        <f>IF(Leads!I11="","",Leads!I11)</f>
        <v/>
      </c>
      <c r="C11" s="13">
        <f>IF(Leads!J11="","",Leads!J11)</f>
        <v/>
      </c>
      <c r="D11" s="13">
        <f>IF(OR(Leads!L11="",Leads!L11="Not found"),IF(OR(Leads!AR11="",Leads!AR11="Not found"),"",Leads!AR11),Leads!L11)</f>
        <v/>
      </c>
      <c r="E11" s="13">
        <f>IF(OR(Leads!O11="",Leads!O11="Not found"),Leads!P11,Leads!O11)</f>
        <v/>
      </c>
      <c r="F11" s="13">
        <f>IF(Leads!H11="","",Leads!H11)</f>
        <v/>
      </c>
      <c r="G11" s="13">
        <f>IF(Leads!AQ11="","",Leads!AQ11)</f>
        <v/>
      </c>
      <c r="H11" s="13">
        <f>IF(Leads!AS11="","",Leads!AS11)</f>
        <v/>
      </c>
      <c r="I11" s="13">
        <f>IF(Leads!S11="","",Leads!S11)</f>
        <v/>
      </c>
      <c r="J11" s="13">
        <f>IF(Leads!T11="","",Leads!T11)</f>
        <v/>
      </c>
      <c r="K11" s="13">
        <f>IF(Leads!AT11="","",Leads!AT11)</f>
        <v/>
      </c>
      <c r="L11" s="13" t="inlineStr">
        <is>
          <t>cold-outreach:lead-machine</t>
        </is>
      </c>
      <c r="M11" s="13">
        <f>IF(Leads!H11="","","cold-outreach,lead-machine,status:drafted,industry:"&amp;LOWER(SUBSTITUTE(SUBSTITUTE(SUBSTITUTE(TRIM(Leads!Q11)," ","-"),"/","-"),"&amp;","and"))&amp;",city:"&amp;LOWER(SUBSTITUTE(TRIM(Leads!S11)," ","-"))&amp;",entry:"&amp;LOWER(SUBSTITUTE(TRIM(Leads!W11)," ","-"))&amp;",attitude:"&amp;LOWER(SUBSTITUTE(SUBSTITUTE(TRIM(Leads!V11)," ","-"),"/","-")))</f>
        <v/>
      </c>
      <c r="N11" s="13">
        <f>IF(Leads!A11="","",Leads!A11)</f>
        <v/>
      </c>
      <c r="O11" s="13">
        <f>IF(Leads!F11="","",Leads!F11)</f>
        <v/>
      </c>
      <c r="P11" s="13">
        <f>IF(Leads!V11="","",Leads!V11)</f>
        <v/>
      </c>
      <c r="Q11" s="13">
        <f>IF(Leads!W11="","",Leads!W11)</f>
        <v/>
      </c>
      <c r="R11" s="13">
        <f>IF(Leads!AO11="","",Leads!AO11)</f>
        <v/>
      </c>
      <c r="S11" s="13">
        <f>IF(Leads!U11="","",Leads!U11)</f>
        <v/>
      </c>
      <c r="T11" s="13">
        <f>IF(Leads!Z11="","",Leads!Z11)</f>
        <v/>
      </c>
      <c r="U11" s="13">
        <f>IF(Leads!AA11="","",Leads!AA11)</f>
        <v/>
      </c>
      <c r="V11" s="13">
        <f>IF(Leads!K11="","",Leads!K11)</f>
        <v/>
      </c>
    </row>
    <row r="12">
      <c r="A12" s="13">
        <f>IF(Leads!D12="","",Leads!D12)</f>
        <v/>
      </c>
      <c r="B12" s="13">
        <f>IF(Leads!I12="","",Leads!I12)</f>
        <v/>
      </c>
      <c r="C12" s="13">
        <f>IF(Leads!J12="","",Leads!J12)</f>
        <v/>
      </c>
      <c r="D12" s="13">
        <f>IF(OR(Leads!L12="",Leads!L12="Not found"),IF(OR(Leads!AR12="",Leads!AR12="Not found"),"",Leads!AR12),Leads!L12)</f>
        <v/>
      </c>
      <c r="E12" s="13">
        <f>IF(OR(Leads!O12="",Leads!O12="Not found"),Leads!P12,Leads!O12)</f>
        <v/>
      </c>
      <c r="F12" s="13">
        <f>IF(Leads!H12="","",Leads!H12)</f>
        <v/>
      </c>
      <c r="G12" s="13">
        <f>IF(Leads!AQ12="","",Leads!AQ12)</f>
        <v/>
      </c>
      <c r="H12" s="13">
        <f>IF(Leads!AS12="","",Leads!AS12)</f>
        <v/>
      </c>
      <c r="I12" s="13">
        <f>IF(Leads!S12="","",Leads!S12)</f>
        <v/>
      </c>
      <c r="J12" s="13">
        <f>IF(Leads!T12="","",Leads!T12)</f>
        <v/>
      </c>
      <c r="K12" s="13">
        <f>IF(Leads!AT12="","",Leads!AT12)</f>
        <v/>
      </c>
      <c r="L12" s="13" t="inlineStr">
        <is>
          <t>cold-outreach:lead-machine</t>
        </is>
      </c>
      <c r="M12" s="13">
        <f>IF(Leads!H12="","","cold-outreach,lead-machine,status:drafted,industry:"&amp;LOWER(SUBSTITUTE(SUBSTITUTE(SUBSTITUTE(TRIM(Leads!Q12)," ","-"),"/","-"),"&amp;","and"))&amp;",city:"&amp;LOWER(SUBSTITUTE(TRIM(Leads!S12)," ","-"))&amp;",entry:"&amp;LOWER(SUBSTITUTE(TRIM(Leads!W12)," ","-"))&amp;",attitude:"&amp;LOWER(SUBSTITUTE(SUBSTITUTE(TRIM(Leads!V12)," ","-"),"/","-")))</f>
        <v/>
      </c>
      <c r="N12" s="13">
        <f>IF(Leads!A12="","",Leads!A12)</f>
        <v/>
      </c>
      <c r="O12" s="13">
        <f>IF(Leads!F12="","",Leads!F12)</f>
        <v/>
      </c>
      <c r="P12" s="13">
        <f>IF(Leads!V12="","",Leads!V12)</f>
        <v/>
      </c>
      <c r="Q12" s="13">
        <f>IF(Leads!W12="","",Leads!W12)</f>
        <v/>
      </c>
      <c r="R12" s="13">
        <f>IF(Leads!AO12="","",Leads!AO12)</f>
        <v/>
      </c>
      <c r="S12" s="13">
        <f>IF(Leads!U12="","",Leads!U12)</f>
        <v/>
      </c>
      <c r="T12" s="13">
        <f>IF(Leads!Z12="","",Leads!Z12)</f>
        <v/>
      </c>
      <c r="U12" s="13">
        <f>IF(Leads!AA12="","",Leads!AA12)</f>
        <v/>
      </c>
      <c r="V12" s="13">
        <f>IF(Leads!K12="","",Leads!K12)</f>
        <v/>
      </c>
    </row>
    <row r="13">
      <c r="A13" s="13">
        <f>IF(Leads!D13="","",Leads!D13)</f>
        <v/>
      </c>
      <c r="B13" s="13">
        <f>IF(Leads!I13="","",Leads!I13)</f>
        <v/>
      </c>
      <c r="C13" s="13">
        <f>IF(Leads!J13="","",Leads!J13)</f>
        <v/>
      </c>
      <c r="D13" s="13">
        <f>IF(OR(Leads!L13="",Leads!L13="Not found"),IF(OR(Leads!AR13="",Leads!AR13="Not found"),"",Leads!AR13),Leads!L13)</f>
        <v/>
      </c>
      <c r="E13" s="13">
        <f>IF(OR(Leads!O13="",Leads!O13="Not found"),Leads!P13,Leads!O13)</f>
        <v/>
      </c>
      <c r="F13" s="13">
        <f>IF(Leads!H13="","",Leads!H13)</f>
        <v/>
      </c>
      <c r="G13" s="13">
        <f>IF(Leads!AQ13="","",Leads!AQ13)</f>
        <v/>
      </c>
      <c r="H13" s="13">
        <f>IF(Leads!AS13="","",Leads!AS13)</f>
        <v/>
      </c>
      <c r="I13" s="13">
        <f>IF(Leads!S13="","",Leads!S13)</f>
        <v/>
      </c>
      <c r="J13" s="13">
        <f>IF(Leads!T13="","",Leads!T13)</f>
        <v/>
      </c>
      <c r="K13" s="13">
        <f>IF(Leads!AT13="","",Leads!AT13)</f>
        <v/>
      </c>
      <c r="L13" s="13" t="inlineStr">
        <is>
          <t>cold-outreach:lead-machine</t>
        </is>
      </c>
      <c r="M13" s="13">
        <f>IF(Leads!H13="","","cold-outreach,lead-machine,status:drafted,industry:"&amp;LOWER(SUBSTITUTE(SUBSTITUTE(SUBSTITUTE(TRIM(Leads!Q13)," ","-"),"/","-"),"&amp;","and"))&amp;",city:"&amp;LOWER(SUBSTITUTE(TRIM(Leads!S13)," ","-"))&amp;",entry:"&amp;LOWER(SUBSTITUTE(TRIM(Leads!W13)," ","-"))&amp;",attitude:"&amp;LOWER(SUBSTITUTE(SUBSTITUTE(TRIM(Leads!V13)," ","-"),"/","-")))</f>
        <v/>
      </c>
      <c r="N13" s="13">
        <f>IF(Leads!A13="","",Leads!A13)</f>
        <v/>
      </c>
      <c r="O13" s="13">
        <f>IF(Leads!F13="","",Leads!F13)</f>
        <v/>
      </c>
      <c r="P13" s="13">
        <f>IF(Leads!V13="","",Leads!V13)</f>
        <v/>
      </c>
      <c r="Q13" s="13">
        <f>IF(Leads!W13="","",Leads!W13)</f>
        <v/>
      </c>
      <c r="R13" s="13">
        <f>IF(Leads!AO13="","",Leads!AO13)</f>
        <v/>
      </c>
      <c r="S13" s="13">
        <f>IF(Leads!U13="","",Leads!U13)</f>
        <v/>
      </c>
      <c r="T13" s="13">
        <f>IF(Leads!Z13="","",Leads!Z13)</f>
        <v/>
      </c>
      <c r="U13" s="13">
        <f>IF(Leads!AA13="","",Leads!AA13)</f>
        <v/>
      </c>
      <c r="V13" s="13">
        <f>IF(Leads!K13="","",Leads!K13)</f>
        <v/>
      </c>
    </row>
    <row r="14">
      <c r="A14" s="13">
        <f>IF(Leads!D14="","",Leads!D14)</f>
        <v/>
      </c>
      <c r="B14" s="13">
        <f>IF(Leads!I14="","",Leads!I14)</f>
        <v/>
      </c>
      <c r="C14" s="13">
        <f>IF(Leads!J14="","",Leads!J14)</f>
        <v/>
      </c>
      <c r="D14" s="13">
        <f>IF(OR(Leads!L14="",Leads!L14="Not found"),IF(OR(Leads!AR14="",Leads!AR14="Not found"),"",Leads!AR14),Leads!L14)</f>
        <v/>
      </c>
      <c r="E14" s="13">
        <f>IF(OR(Leads!O14="",Leads!O14="Not found"),Leads!P14,Leads!O14)</f>
        <v/>
      </c>
      <c r="F14" s="13">
        <f>IF(Leads!H14="","",Leads!H14)</f>
        <v/>
      </c>
      <c r="G14" s="13">
        <f>IF(Leads!AQ14="","",Leads!AQ14)</f>
        <v/>
      </c>
      <c r="H14" s="13">
        <f>IF(Leads!AS14="","",Leads!AS14)</f>
        <v/>
      </c>
      <c r="I14" s="13">
        <f>IF(Leads!S14="","",Leads!S14)</f>
        <v/>
      </c>
      <c r="J14" s="13">
        <f>IF(Leads!T14="","",Leads!T14)</f>
        <v/>
      </c>
      <c r="K14" s="13">
        <f>IF(Leads!AT14="","",Leads!AT14)</f>
        <v/>
      </c>
      <c r="L14" s="13" t="inlineStr">
        <is>
          <t>cold-outreach:lead-machine</t>
        </is>
      </c>
      <c r="M14" s="13">
        <f>IF(Leads!H14="","","cold-outreach,lead-machine,status:drafted,industry:"&amp;LOWER(SUBSTITUTE(SUBSTITUTE(SUBSTITUTE(TRIM(Leads!Q14)," ","-"),"/","-"),"&amp;","and"))&amp;",city:"&amp;LOWER(SUBSTITUTE(TRIM(Leads!S14)," ","-"))&amp;",entry:"&amp;LOWER(SUBSTITUTE(TRIM(Leads!W14)," ","-"))&amp;",attitude:"&amp;LOWER(SUBSTITUTE(SUBSTITUTE(TRIM(Leads!V14)," ","-"),"/","-")))</f>
        <v/>
      </c>
      <c r="N14" s="13">
        <f>IF(Leads!A14="","",Leads!A14)</f>
        <v/>
      </c>
      <c r="O14" s="13">
        <f>IF(Leads!F14="","",Leads!F14)</f>
        <v/>
      </c>
      <c r="P14" s="13">
        <f>IF(Leads!V14="","",Leads!V14)</f>
        <v/>
      </c>
      <c r="Q14" s="13">
        <f>IF(Leads!W14="","",Leads!W14)</f>
        <v/>
      </c>
      <c r="R14" s="13">
        <f>IF(Leads!AO14="","",Leads!AO14)</f>
        <v/>
      </c>
      <c r="S14" s="13">
        <f>IF(Leads!U14="","",Leads!U14)</f>
        <v/>
      </c>
      <c r="T14" s="13">
        <f>IF(Leads!Z14="","",Leads!Z14)</f>
        <v/>
      </c>
      <c r="U14" s="13">
        <f>IF(Leads!AA14="","",Leads!AA14)</f>
        <v/>
      </c>
      <c r="V14" s="13">
        <f>IF(Leads!K14="","",Leads!K14)</f>
        <v/>
      </c>
    </row>
    <row r="15">
      <c r="A15" s="13">
        <f>IF(Leads!D15="","",Leads!D15)</f>
        <v/>
      </c>
      <c r="B15" s="13">
        <f>IF(Leads!I15="","",Leads!I15)</f>
        <v/>
      </c>
      <c r="C15" s="13">
        <f>IF(Leads!J15="","",Leads!J15)</f>
        <v/>
      </c>
      <c r="D15" s="13">
        <f>IF(OR(Leads!L15="",Leads!L15="Not found"),IF(OR(Leads!AR15="",Leads!AR15="Not found"),"",Leads!AR15),Leads!L15)</f>
        <v/>
      </c>
      <c r="E15" s="13">
        <f>IF(OR(Leads!O15="",Leads!O15="Not found"),Leads!P15,Leads!O15)</f>
        <v/>
      </c>
      <c r="F15" s="13">
        <f>IF(Leads!H15="","",Leads!H15)</f>
        <v/>
      </c>
      <c r="G15" s="13">
        <f>IF(Leads!AQ15="","",Leads!AQ15)</f>
        <v/>
      </c>
      <c r="H15" s="13">
        <f>IF(Leads!AS15="","",Leads!AS15)</f>
        <v/>
      </c>
      <c r="I15" s="13">
        <f>IF(Leads!S15="","",Leads!S15)</f>
        <v/>
      </c>
      <c r="J15" s="13">
        <f>IF(Leads!T15="","",Leads!T15)</f>
        <v/>
      </c>
      <c r="K15" s="13">
        <f>IF(Leads!AT15="","",Leads!AT15)</f>
        <v/>
      </c>
      <c r="L15" s="13" t="inlineStr">
        <is>
          <t>cold-outreach:lead-machine</t>
        </is>
      </c>
      <c r="M15" s="13">
        <f>IF(Leads!H15="","","cold-outreach,lead-machine,status:drafted,industry:"&amp;LOWER(SUBSTITUTE(SUBSTITUTE(SUBSTITUTE(TRIM(Leads!Q15)," ","-"),"/","-"),"&amp;","and"))&amp;",city:"&amp;LOWER(SUBSTITUTE(TRIM(Leads!S15)," ","-"))&amp;",entry:"&amp;LOWER(SUBSTITUTE(TRIM(Leads!W15)," ","-"))&amp;",attitude:"&amp;LOWER(SUBSTITUTE(SUBSTITUTE(TRIM(Leads!V15)," ","-"),"/","-")))</f>
        <v/>
      </c>
      <c r="N15" s="13">
        <f>IF(Leads!A15="","",Leads!A15)</f>
        <v/>
      </c>
      <c r="O15" s="13">
        <f>IF(Leads!F15="","",Leads!F15)</f>
        <v/>
      </c>
      <c r="P15" s="13">
        <f>IF(Leads!V15="","",Leads!V15)</f>
        <v/>
      </c>
      <c r="Q15" s="13">
        <f>IF(Leads!W15="","",Leads!W15)</f>
        <v/>
      </c>
      <c r="R15" s="13">
        <f>IF(Leads!AO15="","",Leads!AO15)</f>
        <v/>
      </c>
      <c r="S15" s="13">
        <f>IF(Leads!U15="","",Leads!U15)</f>
        <v/>
      </c>
      <c r="T15" s="13">
        <f>IF(Leads!Z15="","",Leads!Z15)</f>
        <v/>
      </c>
      <c r="U15" s="13">
        <f>IF(Leads!AA15="","",Leads!AA15)</f>
        <v/>
      </c>
      <c r="V15" s="13">
        <f>IF(Leads!K15="","",Leads!K15)</f>
        <v/>
      </c>
    </row>
    <row r="16">
      <c r="A16" s="13">
        <f>IF(Leads!D16="","",Leads!D16)</f>
        <v/>
      </c>
      <c r="B16" s="13">
        <f>IF(Leads!I16="","",Leads!I16)</f>
        <v/>
      </c>
      <c r="C16" s="13">
        <f>IF(Leads!J16="","",Leads!J16)</f>
        <v/>
      </c>
      <c r="D16" s="13">
        <f>IF(OR(Leads!L16="",Leads!L16="Not found"),IF(OR(Leads!AR16="",Leads!AR16="Not found"),"",Leads!AR16),Leads!L16)</f>
        <v/>
      </c>
      <c r="E16" s="13">
        <f>IF(OR(Leads!O16="",Leads!O16="Not found"),Leads!P16,Leads!O16)</f>
        <v/>
      </c>
      <c r="F16" s="13">
        <f>IF(Leads!H16="","",Leads!H16)</f>
        <v/>
      </c>
      <c r="G16" s="13">
        <f>IF(Leads!AQ16="","",Leads!AQ16)</f>
        <v/>
      </c>
      <c r="H16" s="13">
        <f>IF(Leads!AS16="","",Leads!AS16)</f>
        <v/>
      </c>
      <c r="I16" s="13">
        <f>IF(Leads!S16="","",Leads!S16)</f>
        <v/>
      </c>
      <c r="J16" s="13">
        <f>IF(Leads!T16="","",Leads!T16)</f>
        <v/>
      </c>
      <c r="K16" s="13">
        <f>IF(Leads!AT16="","",Leads!AT16)</f>
        <v/>
      </c>
      <c r="L16" s="13" t="inlineStr">
        <is>
          <t>cold-outreach:lead-machine</t>
        </is>
      </c>
      <c r="M16" s="13">
        <f>IF(Leads!H16="","","cold-outreach,lead-machine,status:drafted,industry:"&amp;LOWER(SUBSTITUTE(SUBSTITUTE(SUBSTITUTE(TRIM(Leads!Q16)," ","-"),"/","-"),"&amp;","and"))&amp;",city:"&amp;LOWER(SUBSTITUTE(TRIM(Leads!S16)," ","-"))&amp;",entry:"&amp;LOWER(SUBSTITUTE(TRIM(Leads!W16)," ","-"))&amp;",attitude:"&amp;LOWER(SUBSTITUTE(SUBSTITUTE(TRIM(Leads!V16)," ","-"),"/","-")))</f>
        <v/>
      </c>
      <c r="N16" s="13">
        <f>IF(Leads!A16="","",Leads!A16)</f>
        <v/>
      </c>
      <c r="O16" s="13">
        <f>IF(Leads!F16="","",Leads!F16)</f>
        <v/>
      </c>
      <c r="P16" s="13">
        <f>IF(Leads!V16="","",Leads!V16)</f>
        <v/>
      </c>
      <c r="Q16" s="13">
        <f>IF(Leads!W16="","",Leads!W16)</f>
        <v/>
      </c>
      <c r="R16" s="13">
        <f>IF(Leads!AO16="","",Leads!AO16)</f>
        <v/>
      </c>
      <c r="S16" s="13">
        <f>IF(Leads!U16="","",Leads!U16)</f>
        <v/>
      </c>
      <c r="T16" s="13">
        <f>IF(Leads!Z16="","",Leads!Z16)</f>
        <v/>
      </c>
      <c r="U16" s="13">
        <f>IF(Leads!AA16="","",Leads!AA16)</f>
        <v/>
      </c>
      <c r="V16" s="13">
        <f>IF(Leads!K16="","",Leads!K16)</f>
        <v/>
      </c>
    </row>
    <row r="17">
      <c r="A17" s="13">
        <f>IF(Leads!D17="","",Leads!D17)</f>
        <v/>
      </c>
      <c r="B17" s="13">
        <f>IF(Leads!I17="","",Leads!I17)</f>
        <v/>
      </c>
      <c r="C17" s="13">
        <f>IF(Leads!J17="","",Leads!J17)</f>
        <v/>
      </c>
      <c r="D17" s="13">
        <f>IF(OR(Leads!L17="",Leads!L17="Not found"),IF(OR(Leads!AR17="",Leads!AR17="Not found"),"",Leads!AR17),Leads!L17)</f>
        <v/>
      </c>
      <c r="E17" s="13">
        <f>IF(OR(Leads!O17="",Leads!O17="Not found"),Leads!P17,Leads!O17)</f>
        <v/>
      </c>
      <c r="F17" s="13">
        <f>IF(Leads!H17="","",Leads!H17)</f>
        <v/>
      </c>
      <c r="G17" s="13">
        <f>IF(Leads!AQ17="","",Leads!AQ17)</f>
        <v/>
      </c>
      <c r="H17" s="13">
        <f>IF(Leads!AS17="","",Leads!AS17)</f>
        <v/>
      </c>
      <c r="I17" s="13">
        <f>IF(Leads!S17="","",Leads!S17)</f>
        <v/>
      </c>
      <c r="J17" s="13">
        <f>IF(Leads!T17="","",Leads!T17)</f>
        <v/>
      </c>
      <c r="K17" s="13">
        <f>IF(Leads!AT17="","",Leads!AT17)</f>
        <v/>
      </c>
      <c r="L17" s="13" t="inlineStr">
        <is>
          <t>cold-outreach:lead-machine</t>
        </is>
      </c>
      <c r="M17" s="13">
        <f>IF(Leads!H17="","","cold-outreach,lead-machine,status:drafted,industry:"&amp;LOWER(SUBSTITUTE(SUBSTITUTE(SUBSTITUTE(TRIM(Leads!Q17)," ","-"),"/","-"),"&amp;","and"))&amp;",city:"&amp;LOWER(SUBSTITUTE(TRIM(Leads!S17)," ","-"))&amp;",entry:"&amp;LOWER(SUBSTITUTE(TRIM(Leads!W17)," ","-"))&amp;",attitude:"&amp;LOWER(SUBSTITUTE(SUBSTITUTE(TRIM(Leads!V17)," ","-"),"/","-")))</f>
        <v/>
      </c>
      <c r="N17" s="13">
        <f>IF(Leads!A17="","",Leads!A17)</f>
        <v/>
      </c>
      <c r="O17" s="13">
        <f>IF(Leads!F17="","",Leads!F17)</f>
        <v/>
      </c>
      <c r="P17" s="13">
        <f>IF(Leads!V17="","",Leads!V17)</f>
        <v/>
      </c>
      <c r="Q17" s="13">
        <f>IF(Leads!W17="","",Leads!W17)</f>
        <v/>
      </c>
      <c r="R17" s="13">
        <f>IF(Leads!AO17="","",Leads!AO17)</f>
        <v/>
      </c>
      <c r="S17" s="13">
        <f>IF(Leads!U17="","",Leads!U17)</f>
        <v/>
      </c>
      <c r="T17" s="13">
        <f>IF(Leads!Z17="","",Leads!Z17)</f>
        <v/>
      </c>
      <c r="U17" s="13">
        <f>IF(Leads!AA17="","",Leads!AA17)</f>
        <v/>
      </c>
      <c r="V17" s="13">
        <f>IF(Leads!K17="","",Leads!K17)</f>
        <v/>
      </c>
    </row>
    <row r="18">
      <c r="A18" s="13">
        <f>IF(Leads!D18="","",Leads!D18)</f>
        <v/>
      </c>
      <c r="B18" s="13">
        <f>IF(Leads!I18="","",Leads!I18)</f>
        <v/>
      </c>
      <c r="C18" s="13">
        <f>IF(Leads!J18="","",Leads!J18)</f>
        <v/>
      </c>
      <c r="D18" s="13">
        <f>IF(OR(Leads!L18="",Leads!L18="Not found"),IF(OR(Leads!AR18="",Leads!AR18="Not found"),"",Leads!AR18),Leads!L18)</f>
        <v/>
      </c>
      <c r="E18" s="13">
        <f>IF(OR(Leads!O18="",Leads!O18="Not found"),Leads!P18,Leads!O18)</f>
        <v/>
      </c>
      <c r="F18" s="13">
        <f>IF(Leads!H18="","",Leads!H18)</f>
        <v/>
      </c>
      <c r="G18" s="13">
        <f>IF(Leads!AQ18="","",Leads!AQ18)</f>
        <v/>
      </c>
      <c r="H18" s="13">
        <f>IF(Leads!AS18="","",Leads!AS18)</f>
        <v/>
      </c>
      <c r="I18" s="13">
        <f>IF(Leads!S18="","",Leads!S18)</f>
        <v/>
      </c>
      <c r="J18" s="13">
        <f>IF(Leads!T18="","",Leads!T18)</f>
        <v/>
      </c>
      <c r="K18" s="13">
        <f>IF(Leads!AT18="","",Leads!AT18)</f>
        <v/>
      </c>
      <c r="L18" s="13" t="inlineStr">
        <is>
          <t>cold-outreach:lead-machine</t>
        </is>
      </c>
      <c r="M18" s="13">
        <f>IF(Leads!H18="","","cold-outreach,lead-machine,status:drafted,industry:"&amp;LOWER(SUBSTITUTE(SUBSTITUTE(SUBSTITUTE(TRIM(Leads!Q18)," ","-"),"/","-"),"&amp;","and"))&amp;",city:"&amp;LOWER(SUBSTITUTE(TRIM(Leads!S18)," ","-"))&amp;",entry:"&amp;LOWER(SUBSTITUTE(TRIM(Leads!W18)," ","-"))&amp;",attitude:"&amp;LOWER(SUBSTITUTE(SUBSTITUTE(TRIM(Leads!V18)," ","-"),"/","-")))</f>
        <v/>
      </c>
      <c r="N18" s="13">
        <f>IF(Leads!A18="","",Leads!A18)</f>
        <v/>
      </c>
      <c r="O18" s="13">
        <f>IF(Leads!F18="","",Leads!F18)</f>
        <v/>
      </c>
      <c r="P18" s="13">
        <f>IF(Leads!V18="","",Leads!V18)</f>
        <v/>
      </c>
      <c r="Q18" s="13">
        <f>IF(Leads!W18="","",Leads!W18)</f>
        <v/>
      </c>
      <c r="R18" s="13">
        <f>IF(Leads!AO18="","",Leads!AO18)</f>
        <v/>
      </c>
      <c r="S18" s="13">
        <f>IF(Leads!U18="","",Leads!U18)</f>
        <v/>
      </c>
      <c r="T18" s="13">
        <f>IF(Leads!Z18="","",Leads!Z18)</f>
        <v/>
      </c>
      <c r="U18" s="13">
        <f>IF(Leads!AA18="","",Leads!AA18)</f>
        <v/>
      </c>
      <c r="V18" s="13">
        <f>IF(Leads!K18="","",Leads!K18)</f>
        <v/>
      </c>
    </row>
    <row r="19">
      <c r="A19" s="13">
        <f>IF(Leads!D19="","",Leads!D19)</f>
        <v/>
      </c>
      <c r="B19" s="13">
        <f>IF(Leads!I19="","",Leads!I19)</f>
        <v/>
      </c>
      <c r="C19" s="13">
        <f>IF(Leads!J19="","",Leads!J19)</f>
        <v/>
      </c>
      <c r="D19" s="13">
        <f>IF(OR(Leads!L19="",Leads!L19="Not found"),IF(OR(Leads!AR19="",Leads!AR19="Not found"),"",Leads!AR19),Leads!L19)</f>
        <v/>
      </c>
      <c r="E19" s="13">
        <f>IF(OR(Leads!O19="",Leads!O19="Not found"),Leads!P19,Leads!O19)</f>
        <v/>
      </c>
      <c r="F19" s="13">
        <f>IF(Leads!H19="","",Leads!H19)</f>
        <v/>
      </c>
      <c r="G19" s="13">
        <f>IF(Leads!AQ19="","",Leads!AQ19)</f>
        <v/>
      </c>
      <c r="H19" s="13">
        <f>IF(Leads!AS19="","",Leads!AS19)</f>
        <v/>
      </c>
      <c r="I19" s="13">
        <f>IF(Leads!S19="","",Leads!S19)</f>
        <v/>
      </c>
      <c r="J19" s="13">
        <f>IF(Leads!T19="","",Leads!T19)</f>
        <v/>
      </c>
      <c r="K19" s="13">
        <f>IF(Leads!AT19="","",Leads!AT19)</f>
        <v/>
      </c>
      <c r="L19" s="13" t="inlineStr">
        <is>
          <t>cold-outreach:lead-machine</t>
        </is>
      </c>
      <c r="M19" s="13">
        <f>IF(Leads!H19="","","cold-outreach,lead-machine,status:drafted,industry:"&amp;LOWER(SUBSTITUTE(SUBSTITUTE(SUBSTITUTE(TRIM(Leads!Q19)," ","-"),"/","-"),"&amp;","and"))&amp;",city:"&amp;LOWER(SUBSTITUTE(TRIM(Leads!S19)," ","-"))&amp;",entry:"&amp;LOWER(SUBSTITUTE(TRIM(Leads!W19)," ","-"))&amp;",attitude:"&amp;LOWER(SUBSTITUTE(SUBSTITUTE(TRIM(Leads!V19)," ","-"),"/","-")))</f>
        <v/>
      </c>
      <c r="N19" s="13">
        <f>IF(Leads!A19="","",Leads!A19)</f>
        <v/>
      </c>
      <c r="O19" s="13">
        <f>IF(Leads!F19="","",Leads!F19)</f>
        <v/>
      </c>
      <c r="P19" s="13">
        <f>IF(Leads!V19="","",Leads!V19)</f>
        <v/>
      </c>
      <c r="Q19" s="13">
        <f>IF(Leads!W19="","",Leads!W19)</f>
        <v/>
      </c>
      <c r="R19" s="13">
        <f>IF(Leads!AO19="","",Leads!AO19)</f>
        <v/>
      </c>
      <c r="S19" s="13">
        <f>IF(Leads!U19="","",Leads!U19)</f>
        <v/>
      </c>
      <c r="T19" s="13">
        <f>IF(Leads!Z19="","",Leads!Z19)</f>
        <v/>
      </c>
      <c r="U19" s="13">
        <f>IF(Leads!AA19="","",Leads!AA19)</f>
        <v/>
      </c>
      <c r="V19" s="13">
        <f>IF(Leads!K19="","",Leads!K19)</f>
        <v/>
      </c>
    </row>
    <row r="20">
      <c r="A20" s="13">
        <f>IF(Leads!D20="","",Leads!D20)</f>
        <v/>
      </c>
      <c r="B20" s="13">
        <f>IF(Leads!I20="","",Leads!I20)</f>
        <v/>
      </c>
      <c r="C20" s="13">
        <f>IF(Leads!J20="","",Leads!J20)</f>
        <v/>
      </c>
      <c r="D20" s="13">
        <f>IF(OR(Leads!L20="",Leads!L20="Not found"),IF(OR(Leads!AR20="",Leads!AR20="Not found"),"",Leads!AR20),Leads!L20)</f>
        <v/>
      </c>
      <c r="E20" s="13">
        <f>IF(OR(Leads!O20="",Leads!O20="Not found"),Leads!P20,Leads!O20)</f>
        <v/>
      </c>
      <c r="F20" s="13">
        <f>IF(Leads!H20="","",Leads!H20)</f>
        <v/>
      </c>
      <c r="G20" s="13">
        <f>IF(Leads!AQ20="","",Leads!AQ20)</f>
        <v/>
      </c>
      <c r="H20" s="13">
        <f>IF(Leads!AS20="","",Leads!AS20)</f>
        <v/>
      </c>
      <c r="I20" s="13">
        <f>IF(Leads!S20="","",Leads!S20)</f>
        <v/>
      </c>
      <c r="J20" s="13">
        <f>IF(Leads!T20="","",Leads!T20)</f>
        <v/>
      </c>
      <c r="K20" s="13">
        <f>IF(Leads!AT20="","",Leads!AT20)</f>
        <v/>
      </c>
      <c r="L20" s="13" t="inlineStr">
        <is>
          <t>cold-outreach:lead-machine</t>
        </is>
      </c>
      <c r="M20" s="13">
        <f>IF(Leads!H20="","","cold-outreach,lead-machine,status:drafted,industry:"&amp;LOWER(SUBSTITUTE(SUBSTITUTE(SUBSTITUTE(TRIM(Leads!Q20)," ","-"),"/","-"),"&amp;","and"))&amp;",city:"&amp;LOWER(SUBSTITUTE(TRIM(Leads!S20)," ","-"))&amp;",entry:"&amp;LOWER(SUBSTITUTE(TRIM(Leads!W20)," ","-"))&amp;",attitude:"&amp;LOWER(SUBSTITUTE(SUBSTITUTE(TRIM(Leads!V20)," ","-"),"/","-")))</f>
        <v/>
      </c>
      <c r="N20" s="13">
        <f>IF(Leads!A20="","",Leads!A20)</f>
        <v/>
      </c>
      <c r="O20" s="13">
        <f>IF(Leads!F20="","",Leads!F20)</f>
        <v/>
      </c>
      <c r="P20" s="13">
        <f>IF(Leads!V20="","",Leads!V20)</f>
        <v/>
      </c>
      <c r="Q20" s="13">
        <f>IF(Leads!W20="","",Leads!W20)</f>
        <v/>
      </c>
      <c r="R20" s="13">
        <f>IF(Leads!AO20="","",Leads!AO20)</f>
        <v/>
      </c>
      <c r="S20" s="13">
        <f>IF(Leads!U20="","",Leads!U20)</f>
        <v/>
      </c>
      <c r="T20" s="13">
        <f>IF(Leads!Z20="","",Leads!Z20)</f>
        <v/>
      </c>
      <c r="U20" s="13">
        <f>IF(Leads!AA20="","",Leads!AA20)</f>
        <v/>
      </c>
      <c r="V20" s="13">
        <f>IF(Leads!K20="","",Leads!K20)</f>
        <v/>
      </c>
    </row>
    <row r="21">
      <c r="A21" s="13">
        <f>IF(Leads!D21="","",Leads!D21)</f>
        <v/>
      </c>
      <c r="B21" s="13">
        <f>IF(Leads!I21="","",Leads!I21)</f>
        <v/>
      </c>
      <c r="C21" s="13">
        <f>IF(Leads!J21="","",Leads!J21)</f>
        <v/>
      </c>
      <c r="D21" s="13">
        <f>IF(OR(Leads!L21="",Leads!L21="Not found"),IF(OR(Leads!AR21="",Leads!AR21="Not found"),"",Leads!AR21),Leads!L21)</f>
        <v/>
      </c>
      <c r="E21" s="13">
        <f>IF(OR(Leads!O21="",Leads!O21="Not found"),Leads!P21,Leads!O21)</f>
        <v/>
      </c>
      <c r="F21" s="13">
        <f>IF(Leads!H21="","",Leads!H21)</f>
        <v/>
      </c>
      <c r="G21" s="13">
        <f>IF(Leads!AQ21="","",Leads!AQ21)</f>
        <v/>
      </c>
      <c r="H21" s="13">
        <f>IF(Leads!AS21="","",Leads!AS21)</f>
        <v/>
      </c>
      <c r="I21" s="13">
        <f>IF(Leads!S21="","",Leads!S21)</f>
        <v/>
      </c>
      <c r="J21" s="13">
        <f>IF(Leads!T21="","",Leads!T21)</f>
        <v/>
      </c>
      <c r="K21" s="13">
        <f>IF(Leads!AT21="","",Leads!AT21)</f>
        <v/>
      </c>
      <c r="L21" s="13" t="inlineStr">
        <is>
          <t>cold-outreach:lead-machine</t>
        </is>
      </c>
      <c r="M21" s="13">
        <f>IF(Leads!H21="","","cold-outreach,lead-machine,status:drafted,industry:"&amp;LOWER(SUBSTITUTE(SUBSTITUTE(SUBSTITUTE(TRIM(Leads!Q21)," ","-"),"/","-"),"&amp;","and"))&amp;",city:"&amp;LOWER(SUBSTITUTE(TRIM(Leads!S21)," ","-"))&amp;",entry:"&amp;LOWER(SUBSTITUTE(TRIM(Leads!W21)," ","-"))&amp;",attitude:"&amp;LOWER(SUBSTITUTE(SUBSTITUTE(TRIM(Leads!V21)," ","-"),"/","-")))</f>
        <v/>
      </c>
      <c r="N21" s="13">
        <f>IF(Leads!A21="","",Leads!A21)</f>
        <v/>
      </c>
      <c r="O21" s="13">
        <f>IF(Leads!F21="","",Leads!F21)</f>
        <v/>
      </c>
      <c r="P21" s="13">
        <f>IF(Leads!V21="","",Leads!V21)</f>
        <v/>
      </c>
      <c r="Q21" s="13">
        <f>IF(Leads!W21="","",Leads!W21)</f>
        <v/>
      </c>
      <c r="R21" s="13">
        <f>IF(Leads!AO21="","",Leads!AO21)</f>
        <v/>
      </c>
      <c r="S21" s="13">
        <f>IF(Leads!U21="","",Leads!U21)</f>
        <v/>
      </c>
      <c r="T21" s="13">
        <f>IF(Leads!Z21="","",Leads!Z21)</f>
        <v/>
      </c>
      <c r="U21" s="13">
        <f>IF(Leads!AA21="","",Leads!AA21)</f>
        <v/>
      </c>
      <c r="V21" s="13">
        <f>IF(Leads!K21="","",Leads!K21)</f>
        <v/>
      </c>
    </row>
    <row r="22">
      <c r="A22" s="13">
        <f>IF(Leads!D22="","",Leads!D22)</f>
        <v/>
      </c>
      <c r="B22" s="13">
        <f>IF(Leads!I22="","",Leads!I22)</f>
        <v/>
      </c>
      <c r="C22" s="13">
        <f>IF(Leads!J22="","",Leads!J22)</f>
        <v/>
      </c>
      <c r="D22" s="13">
        <f>IF(OR(Leads!L22="",Leads!L22="Not found"),IF(OR(Leads!AR22="",Leads!AR22="Not found"),"",Leads!AR22),Leads!L22)</f>
        <v/>
      </c>
      <c r="E22" s="13">
        <f>IF(OR(Leads!O22="",Leads!O22="Not found"),Leads!P22,Leads!O22)</f>
        <v/>
      </c>
      <c r="F22" s="13">
        <f>IF(Leads!H22="","",Leads!H22)</f>
        <v/>
      </c>
      <c r="G22" s="13">
        <f>IF(Leads!AQ22="","",Leads!AQ22)</f>
        <v/>
      </c>
      <c r="H22" s="13">
        <f>IF(Leads!AS22="","",Leads!AS22)</f>
        <v/>
      </c>
      <c r="I22" s="13">
        <f>IF(Leads!S22="","",Leads!S22)</f>
        <v/>
      </c>
      <c r="J22" s="13">
        <f>IF(Leads!T22="","",Leads!T22)</f>
        <v/>
      </c>
      <c r="K22" s="13">
        <f>IF(Leads!AT22="","",Leads!AT22)</f>
        <v/>
      </c>
      <c r="L22" s="13" t="inlineStr">
        <is>
          <t>cold-outreach:lead-machine</t>
        </is>
      </c>
      <c r="M22" s="13">
        <f>IF(Leads!H22="","","cold-outreach,lead-machine,status:drafted,industry:"&amp;LOWER(SUBSTITUTE(SUBSTITUTE(SUBSTITUTE(TRIM(Leads!Q22)," ","-"),"/","-"),"&amp;","and"))&amp;",city:"&amp;LOWER(SUBSTITUTE(TRIM(Leads!S22)," ","-"))&amp;",entry:"&amp;LOWER(SUBSTITUTE(TRIM(Leads!W22)," ","-"))&amp;",attitude:"&amp;LOWER(SUBSTITUTE(SUBSTITUTE(TRIM(Leads!V22)," ","-"),"/","-")))</f>
        <v/>
      </c>
      <c r="N22" s="13">
        <f>IF(Leads!A22="","",Leads!A22)</f>
        <v/>
      </c>
      <c r="O22" s="13">
        <f>IF(Leads!F22="","",Leads!F22)</f>
        <v/>
      </c>
      <c r="P22" s="13">
        <f>IF(Leads!V22="","",Leads!V22)</f>
        <v/>
      </c>
      <c r="Q22" s="13">
        <f>IF(Leads!W22="","",Leads!W22)</f>
        <v/>
      </c>
      <c r="R22" s="13">
        <f>IF(Leads!AO22="","",Leads!AO22)</f>
        <v/>
      </c>
      <c r="S22" s="13">
        <f>IF(Leads!U22="","",Leads!U22)</f>
        <v/>
      </c>
      <c r="T22" s="13">
        <f>IF(Leads!Z22="","",Leads!Z22)</f>
        <v/>
      </c>
      <c r="U22" s="13">
        <f>IF(Leads!AA22="","",Leads!AA22)</f>
        <v/>
      </c>
      <c r="V22" s="13">
        <f>IF(Leads!K22="","",Leads!K22)</f>
        <v/>
      </c>
    </row>
    <row r="23">
      <c r="A23" s="13">
        <f>IF(Leads!D23="","",Leads!D23)</f>
        <v/>
      </c>
      <c r="B23" s="13">
        <f>IF(Leads!I23="","",Leads!I23)</f>
        <v/>
      </c>
      <c r="C23" s="13">
        <f>IF(Leads!J23="","",Leads!J23)</f>
        <v/>
      </c>
      <c r="D23" s="13">
        <f>IF(OR(Leads!L23="",Leads!L23="Not found"),IF(OR(Leads!AR23="",Leads!AR23="Not found"),"",Leads!AR23),Leads!L23)</f>
        <v/>
      </c>
      <c r="E23" s="13">
        <f>IF(OR(Leads!O23="",Leads!O23="Not found"),Leads!P23,Leads!O23)</f>
        <v/>
      </c>
      <c r="F23" s="13">
        <f>IF(Leads!H23="","",Leads!H23)</f>
        <v/>
      </c>
      <c r="G23" s="13">
        <f>IF(Leads!AQ23="","",Leads!AQ23)</f>
        <v/>
      </c>
      <c r="H23" s="13">
        <f>IF(Leads!AS23="","",Leads!AS23)</f>
        <v/>
      </c>
      <c r="I23" s="13">
        <f>IF(Leads!S23="","",Leads!S23)</f>
        <v/>
      </c>
      <c r="J23" s="13">
        <f>IF(Leads!T23="","",Leads!T23)</f>
        <v/>
      </c>
      <c r="K23" s="13">
        <f>IF(Leads!AT23="","",Leads!AT23)</f>
        <v/>
      </c>
      <c r="L23" s="13" t="inlineStr">
        <is>
          <t>cold-outreach:lead-machine</t>
        </is>
      </c>
      <c r="M23" s="13">
        <f>IF(Leads!H23="","","cold-outreach,lead-machine,status:drafted,industry:"&amp;LOWER(SUBSTITUTE(SUBSTITUTE(SUBSTITUTE(TRIM(Leads!Q23)," ","-"),"/","-"),"&amp;","and"))&amp;",city:"&amp;LOWER(SUBSTITUTE(TRIM(Leads!S23)," ","-"))&amp;",entry:"&amp;LOWER(SUBSTITUTE(TRIM(Leads!W23)," ","-"))&amp;",attitude:"&amp;LOWER(SUBSTITUTE(SUBSTITUTE(TRIM(Leads!V23)," ","-"),"/","-")))</f>
        <v/>
      </c>
      <c r="N23" s="13">
        <f>IF(Leads!A23="","",Leads!A23)</f>
        <v/>
      </c>
      <c r="O23" s="13">
        <f>IF(Leads!F23="","",Leads!F23)</f>
        <v/>
      </c>
      <c r="P23" s="13">
        <f>IF(Leads!V23="","",Leads!V23)</f>
        <v/>
      </c>
      <c r="Q23" s="13">
        <f>IF(Leads!W23="","",Leads!W23)</f>
        <v/>
      </c>
      <c r="R23" s="13">
        <f>IF(Leads!AO23="","",Leads!AO23)</f>
        <v/>
      </c>
      <c r="S23" s="13">
        <f>IF(Leads!U23="","",Leads!U23)</f>
        <v/>
      </c>
      <c r="T23" s="13">
        <f>IF(Leads!Z23="","",Leads!Z23)</f>
        <v/>
      </c>
      <c r="U23" s="13">
        <f>IF(Leads!AA23="","",Leads!AA23)</f>
        <v/>
      </c>
      <c r="V23" s="13">
        <f>IF(Leads!K23="","",Leads!K23)</f>
        <v/>
      </c>
    </row>
    <row r="24">
      <c r="A24" s="13">
        <f>IF(Leads!D24="","",Leads!D24)</f>
        <v/>
      </c>
      <c r="B24" s="13">
        <f>IF(Leads!I24="","",Leads!I24)</f>
        <v/>
      </c>
      <c r="C24" s="13">
        <f>IF(Leads!J24="","",Leads!J24)</f>
        <v/>
      </c>
      <c r="D24" s="13">
        <f>IF(OR(Leads!L24="",Leads!L24="Not found"),IF(OR(Leads!AR24="",Leads!AR24="Not found"),"",Leads!AR24),Leads!L24)</f>
        <v/>
      </c>
      <c r="E24" s="13">
        <f>IF(OR(Leads!O24="",Leads!O24="Not found"),Leads!P24,Leads!O24)</f>
        <v/>
      </c>
      <c r="F24" s="13">
        <f>IF(Leads!H24="","",Leads!H24)</f>
        <v/>
      </c>
      <c r="G24" s="13">
        <f>IF(Leads!AQ24="","",Leads!AQ24)</f>
        <v/>
      </c>
      <c r="H24" s="13">
        <f>IF(Leads!AS24="","",Leads!AS24)</f>
        <v/>
      </c>
      <c r="I24" s="13">
        <f>IF(Leads!S24="","",Leads!S24)</f>
        <v/>
      </c>
      <c r="J24" s="13">
        <f>IF(Leads!T24="","",Leads!T24)</f>
        <v/>
      </c>
      <c r="K24" s="13">
        <f>IF(Leads!AT24="","",Leads!AT24)</f>
        <v/>
      </c>
      <c r="L24" s="13" t="inlineStr">
        <is>
          <t>cold-outreach:lead-machine</t>
        </is>
      </c>
      <c r="M24" s="13">
        <f>IF(Leads!H24="","","cold-outreach,lead-machine,status:drafted,industry:"&amp;LOWER(SUBSTITUTE(SUBSTITUTE(SUBSTITUTE(TRIM(Leads!Q24)," ","-"),"/","-"),"&amp;","and"))&amp;",city:"&amp;LOWER(SUBSTITUTE(TRIM(Leads!S24)," ","-"))&amp;",entry:"&amp;LOWER(SUBSTITUTE(TRIM(Leads!W24)," ","-"))&amp;",attitude:"&amp;LOWER(SUBSTITUTE(SUBSTITUTE(TRIM(Leads!V24)," ","-"),"/","-")))</f>
        <v/>
      </c>
      <c r="N24" s="13">
        <f>IF(Leads!A24="","",Leads!A24)</f>
        <v/>
      </c>
      <c r="O24" s="13">
        <f>IF(Leads!F24="","",Leads!F24)</f>
        <v/>
      </c>
      <c r="P24" s="13">
        <f>IF(Leads!V24="","",Leads!V24)</f>
        <v/>
      </c>
      <c r="Q24" s="13">
        <f>IF(Leads!W24="","",Leads!W24)</f>
        <v/>
      </c>
      <c r="R24" s="13">
        <f>IF(Leads!AO24="","",Leads!AO24)</f>
        <v/>
      </c>
      <c r="S24" s="13">
        <f>IF(Leads!U24="","",Leads!U24)</f>
        <v/>
      </c>
      <c r="T24" s="13">
        <f>IF(Leads!Z24="","",Leads!Z24)</f>
        <v/>
      </c>
      <c r="U24" s="13">
        <f>IF(Leads!AA24="","",Leads!AA24)</f>
        <v/>
      </c>
      <c r="V24" s="13">
        <f>IF(Leads!K24="","",Leads!K24)</f>
        <v/>
      </c>
    </row>
    <row r="25">
      <c r="A25" s="13">
        <f>IF(Leads!D25="","",Leads!D25)</f>
        <v/>
      </c>
      <c r="B25" s="13">
        <f>IF(Leads!I25="","",Leads!I25)</f>
        <v/>
      </c>
      <c r="C25" s="13">
        <f>IF(Leads!J25="","",Leads!J25)</f>
        <v/>
      </c>
      <c r="D25" s="13">
        <f>IF(OR(Leads!L25="",Leads!L25="Not found"),IF(OR(Leads!AR25="",Leads!AR25="Not found"),"",Leads!AR25),Leads!L25)</f>
        <v/>
      </c>
      <c r="E25" s="13">
        <f>IF(OR(Leads!O25="",Leads!O25="Not found"),Leads!P25,Leads!O25)</f>
        <v/>
      </c>
      <c r="F25" s="13">
        <f>IF(Leads!H25="","",Leads!H25)</f>
        <v/>
      </c>
      <c r="G25" s="13">
        <f>IF(Leads!AQ25="","",Leads!AQ25)</f>
        <v/>
      </c>
      <c r="H25" s="13">
        <f>IF(Leads!AS25="","",Leads!AS25)</f>
        <v/>
      </c>
      <c r="I25" s="13">
        <f>IF(Leads!S25="","",Leads!S25)</f>
        <v/>
      </c>
      <c r="J25" s="13">
        <f>IF(Leads!T25="","",Leads!T25)</f>
        <v/>
      </c>
      <c r="K25" s="13">
        <f>IF(Leads!AT25="","",Leads!AT25)</f>
        <v/>
      </c>
      <c r="L25" s="13" t="inlineStr">
        <is>
          <t>cold-outreach:lead-machine</t>
        </is>
      </c>
      <c r="M25" s="13">
        <f>IF(Leads!H25="","","cold-outreach,lead-machine,status:drafted,industry:"&amp;LOWER(SUBSTITUTE(SUBSTITUTE(SUBSTITUTE(TRIM(Leads!Q25)," ","-"),"/","-"),"&amp;","and"))&amp;",city:"&amp;LOWER(SUBSTITUTE(TRIM(Leads!S25)," ","-"))&amp;",entry:"&amp;LOWER(SUBSTITUTE(TRIM(Leads!W25)," ","-"))&amp;",attitude:"&amp;LOWER(SUBSTITUTE(SUBSTITUTE(TRIM(Leads!V25)," ","-"),"/","-")))</f>
        <v/>
      </c>
      <c r="N25" s="13">
        <f>IF(Leads!A25="","",Leads!A25)</f>
        <v/>
      </c>
      <c r="O25" s="13">
        <f>IF(Leads!F25="","",Leads!F25)</f>
        <v/>
      </c>
      <c r="P25" s="13">
        <f>IF(Leads!V25="","",Leads!V25)</f>
        <v/>
      </c>
      <c r="Q25" s="13">
        <f>IF(Leads!W25="","",Leads!W25)</f>
        <v/>
      </c>
      <c r="R25" s="13">
        <f>IF(Leads!AO25="","",Leads!AO25)</f>
        <v/>
      </c>
      <c r="S25" s="13">
        <f>IF(Leads!U25="","",Leads!U25)</f>
        <v/>
      </c>
      <c r="T25" s="13">
        <f>IF(Leads!Z25="","",Leads!Z25)</f>
        <v/>
      </c>
      <c r="U25" s="13">
        <f>IF(Leads!AA25="","",Leads!AA25)</f>
        <v/>
      </c>
      <c r="V25" s="13">
        <f>IF(Leads!K25="","",Leads!K25)</f>
        <v/>
      </c>
    </row>
    <row r="26">
      <c r="A26" s="13">
        <f>IF(Leads!D26="","",Leads!D26)</f>
        <v/>
      </c>
      <c r="B26" s="13">
        <f>IF(Leads!I26="","",Leads!I26)</f>
        <v/>
      </c>
      <c r="C26" s="13">
        <f>IF(Leads!J26="","",Leads!J26)</f>
        <v/>
      </c>
      <c r="D26" s="13">
        <f>IF(OR(Leads!L26="",Leads!L26="Not found"),IF(OR(Leads!AR26="",Leads!AR26="Not found"),"",Leads!AR26),Leads!L26)</f>
        <v/>
      </c>
      <c r="E26" s="13">
        <f>IF(OR(Leads!O26="",Leads!O26="Not found"),Leads!P26,Leads!O26)</f>
        <v/>
      </c>
      <c r="F26" s="13">
        <f>IF(Leads!H26="","",Leads!H26)</f>
        <v/>
      </c>
      <c r="G26" s="13">
        <f>IF(Leads!AQ26="","",Leads!AQ26)</f>
        <v/>
      </c>
      <c r="H26" s="13">
        <f>IF(Leads!AS26="","",Leads!AS26)</f>
        <v/>
      </c>
      <c r="I26" s="13">
        <f>IF(Leads!S26="","",Leads!S26)</f>
        <v/>
      </c>
      <c r="J26" s="13">
        <f>IF(Leads!T26="","",Leads!T26)</f>
        <v/>
      </c>
      <c r="K26" s="13">
        <f>IF(Leads!AT26="","",Leads!AT26)</f>
        <v/>
      </c>
      <c r="L26" s="13" t="inlineStr">
        <is>
          <t>cold-outreach:lead-machine</t>
        </is>
      </c>
      <c r="M26" s="13">
        <f>IF(Leads!H26="","","cold-outreach,lead-machine,status:drafted,industry:"&amp;LOWER(SUBSTITUTE(SUBSTITUTE(SUBSTITUTE(TRIM(Leads!Q26)," ","-"),"/","-"),"&amp;","and"))&amp;",city:"&amp;LOWER(SUBSTITUTE(TRIM(Leads!S26)," ","-"))&amp;",entry:"&amp;LOWER(SUBSTITUTE(TRIM(Leads!W26)," ","-"))&amp;",attitude:"&amp;LOWER(SUBSTITUTE(SUBSTITUTE(TRIM(Leads!V26)," ","-"),"/","-")))</f>
        <v/>
      </c>
      <c r="N26" s="13">
        <f>IF(Leads!A26="","",Leads!A26)</f>
        <v/>
      </c>
      <c r="O26" s="13">
        <f>IF(Leads!F26="","",Leads!F26)</f>
        <v/>
      </c>
      <c r="P26" s="13">
        <f>IF(Leads!V26="","",Leads!V26)</f>
        <v/>
      </c>
      <c r="Q26" s="13">
        <f>IF(Leads!W26="","",Leads!W26)</f>
        <v/>
      </c>
      <c r="R26" s="13">
        <f>IF(Leads!AO26="","",Leads!AO26)</f>
        <v/>
      </c>
      <c r="S26" s="13">
        <f>IF(Leads!U26="","",Leads!U26)</f>
        <v/>
      </c>
      <c r="T26" s="13">
        <f>IF(Leads!Z26="","",Leads!Z26)</f>
        <v/>
      </c>
      <c r="U26" s="13">
        <f>IF(Leads!AA26="","",Leads!AA26)</f>
        <v/>
      </c>
      <c r="V26" s="13">
        <f>IF(Leads!K26="","",Leads!K26)</f>
        <v/>
      </c>
    </row>
    <row r="27">
      <c r="A27" s="13">
        <f>IF(Leads!D27="","",Leads!D27)</f>
        <v/>
      </c>
      <c r="B27" s="13">
        <f>IF(Leads!I27="","",Leads!I27)</f>
        <v/>
      </c>
      <c r="C27" s="13">
        <f>IF(Leads!J27="","",Leads!J27)</f>
        <v/>
      </c>
      <c r="D27" s="13">
        <f>IF(OR(Leads!L27="",Leads!L27="Not found"),IF(OR(Leads!AR27="",Leads!AR27="Not found"),"",Leads!AR27),Leads!L27)</f>
        <v/>
      </c>
      <c r="E27" s="13">
        <f>IF(OR(Leads!O27="",Leads!O27="Not found"),Leads!P27,Leads!O27)</f>
        <v/>
      </c>
      <c r="F27" s="13">
        <f>IF(Leads!H27="","",Leads!H27)</f>
        <v/>
      </c>
      <c r="G27" s="13">
        <f>IF(Leads!AQ27="","",Leads!AQ27)</f>
        <v/>
      </c>
      <c r="H27" s="13">
        <f>IF(Leads!AS27="","",Leads!AS27)</f>
        <v/>
      </c>
      <c r="I27" s="13">
        <f>IF(Leads!S27="","",Leads!S27)</f>
        <v/>
      </c>
      <c r="J27" s="13">
        <f>IF(Leads!T27="","",Leads!T27)</f>
        <v/>
      </c>
      <c r="K27" s="13">
        <f>IF(Leads!AT27="","",Leads!AT27)</f>
        <v/>
      </c>
      <c r="L27" s="13" t="inlineStr">
        <is>
          <t>cold-outreach:lead-machine</t>
        </is>
      </c>
      <c r="M27" s="13">
        <f>IF(Leads!H27="","","cold-outreach,lead-machine,status:drafted,industry:"&amp;LOWER(SUBSTITUTE(SUBSTITUTE(SUBSTITUTE(TRIM(Leads!Q27)," ","-"),"/","-"),"&amp;","and"))&amp;",city:"&amp;LOWER(SUBSTITUTE(TRIM(Leads!S27)," ","-"))&amp;",entry:"&amp;LOWER(SUBSTITUTE(TRIM(Leads!W27)," ","-"))&amp;",attitude:"&amp;LOWER(SUBSTITUTE(SUBSTITUTE(TRIM(Leads!V27)," ","-"),"/","-")))</f>
        <v/>
      </c>
      <c r="N27" s="13">
        <f>IF(Leads!A27="","",Leads!A27)</f>
        <v/>
      </c>
      <c r="O27" s="13">
        <f>IF(Leads!F27="","",Leads!F27)</f>
        <v/>
      </c>
      <c r="P27" s="13">
        <f>IF(Leads!V27="","",Leads!V27)</f>
        <v/>
      </c>
      <c r="Q27" s="13">
        <f>IF(Leads!W27="","",Leads!W27)</f>
        <v/>
      </c>
      <c r="R27" s="13">
        <f>IF(Leads!AO27="","",Leads!AO27)</f>
        <v/>
      </c>
      <c r="S27" s="13">
        <f>IF(Leads!U27="","",Leads!U27)</f>
        <v/>
      </c>
      <c r="T27" s="13">
        <f>IF(Leads!Z27="","",Leads!Z27)</f>
        <v/>
      </c>
      <c r="U27" s="13">
        <f>IF(Leads!AA27="","",Leads!AA27)</f>
        <v/>
      </c>
      <c r="V27" s="13">
        <f>IF(Leads!K27="","",Leads!K27)</f>
        <v/>
      </c>
    </row>
    <row r="28">
      <c r="A28" s="13">
        <f>IF(Leads!D28="","",Leads!D28)</f>
        <v/>
      </c>
      <c r="B28" s="13">
        <f>IF(Leads!I28="","",Leads!I28)</f>
        <v/>
      </c>
      <c r="C28" s="13">
        <f>IF(Leads!J28="","",Leads!J28)</f>
        <v/>
      </c>
      <c r="D28" s="13">
        <f>IF(OR(Leads!L28="",Leads!L28="Not found"),IF(OR(Leads!AR28="",Leads!AR28="Not found"),"",Leads!AR28),Leads!L28)</f>
        <v/>
      </c>
      <c r="E28" s="13">
        <f>IF(OR(Leads!O28="",Leads!O28="Not found"),Leads!P28,Leads!O28)</f>
        <v/>
      </c>
      <c r="F28" s="13">
        <f>IF(Leads!H28="","",Leads!H28)</f>
        <v/>
      </c>
      <c r="G28" s="13">
        <f>IF(Leads!AQ28="","",Leads!AQ28)</f>
        <v/>
      </c>
      <c r="H28" s="13">
        <f>IF(Leads!AS28="","",Leads!AS28)</f>
        <v/>
      </c>
      <c r="I28" s="13">
        <f>IF(Leads!S28="","",Leads!S28)</f>
        <v/>
      </c>
      <c r="J28" s="13">
        <f>IF(Leads!T28="","",Leads!T28)</f>
        <v/>
      </c>
      <c r="K28" s="13">
        <f>IF(Leads!AT28="","",Leads!AT28)</f>
        <v/>
      </c>
      <c r="L28" s="13" t="inlineStr">
        <is>
          <t>cold-outreach:lead-machine</t>
        </is>
      </c>
      <c r="M28" s="13">
        <f>IF(Leads!H28="","","cold-outreach,lead-machine,status:drafted,industry:"&amp;LOWER(SUBSTITUTE(SUBSTITUTE(SUBSTITUTE(TRIM(Leads!Q28)," ","-"),"/","-"),"&amp;","and"))&amp;",city:"&amp;LOWER(SUBSTITUTE(TRIM(Leads!S28)," ","-"))&amp;",entry:"&amp;LOWER(SUBSTITUTE(TRIM(Leads!W28)," ","-"))&amp;",attitude:"&amp;LOWER(SUBSTITUTE(SUBSTITUTE(TRIM(Leads!V28)," ","-"),"/","-")))</f>
        <v/>
      </c>
      <c r="N28" s="13">
        <f>IF(Leads!A28="","",Leads!A28)</f>
        <v/>
      </c>
      <c r="O28" s="13">
        <f>IF(Leads!F28="","",Leads!F28)</f>
        <v/>
      </c>
      <c r="P28" s="13">
        <f>IF(Leads!V28="","",Leads!V28)</f>
        <v/>
      </c>
      <c r="Q28" s="13">
        <f>IF(Leads!W28="","",Leads!W28)</f>
        <v/>
      </c>
      <c r="R28" s="13">
        <f>IF(Leads!AO28="","",Leads!AO28)</f>
        <v/>
      </c>
      <c r="S28" s="13">
        <f>IF(Leads!U28="","",Leads!U28)</f>
        <v/>
      </c>
      <c r="T28" s="13">
        <f>IF(Leads!Z28="","",Leads!Z28)</f>
        <v/>
      </c>
      <c r="U28" s="13">
        <f>IF(Leads!AA28="","",Leads!AA28)</f>
        <v/>
      </c>
      <c r="V28" s="13">
        <f>IF(Leads!K28="","",Leads!K28)</f>
        <v/>
      </c>
    </row>
    <row r="29">
      <c r="A29" s="13">
        <f>IF(Leads!D29="","",Leads!D29)</f>
        <v/>
      </c>
      <c r="B29" s="13">
        <f>IF(Leads!I29="","",Leads!I29)</f>
        <v/>
      </c>
      <c r="C29" s="13">
        <f>IF(Leads!J29="","",Leads!J29)</f>
        <v/>
      </c>
      <c r="D29" s="13">
        <f>IF(OR(Leads!L29="",Leads!L29="Not found"),IF(OR(Leads!AR29="",Leads!AR29="Not found"),"",Leads!AR29),Leads!L29)</f>
        <v/>
      </c>
      <c r="E29" s="13">
        <f>IF(OR(Leads!O29="",Leads!O29="Not found"),Leads!P29,Leads!O29)</f>
        <v/>
      </c>
      <c r="F29" s="13">
        <f>IF(Leads!H29="","",Leads!H29)</f>
        <v/>
      </c>
      <c r="G29" s="13">
        <f>IF(Leads!AQ29="","",Leads!AQ29)</f>
        <v/>
      </c>
      <c r="H29" s="13">
        <f>IF(Leads!AS29="","",Leads!AS29)</f>
        <v/>
      </c>
      <c r="I29" s="13">
        <f>IF(Leads!S29="","",Leads!S29)</f>
        <v/>
      </c>
      <c r="J29" s="13">
        <f>IF(Leads!T29="","",Leads!T29)</f>
        <v/>
      </c>
      <c r="K29" s="13">
        <f>IF(Leads!AT29="","",Leads!AT29)</f>
        <v/>
      </c>
      <c r="L29" s="13" t="inlineStr">
        <is>
          <t>cold-outreach:lead-machine</t>
        </is>
      </c>
      <c r="M29" s="13">
        <f>IF(Leads!H29="","","cold-outreach,lead-machine,status:drafted,industry:"&amp;LOWER(SUBSTITUTE(SUBSTITUTE(SUBSTITUTE(TRIM(Leads!Q29)," ","-"),"/","-"),"&amp;","and"))&amp;",city:"&amp;LOWER(SUBSTITUTE(TRIM(Leads!S29)," ","-"))&amp;",entry:"&amp;LOWER(SUBSTITUTE(TRIM(Leads!W29)," ","-"))&amp;",attitude:"&amp;LOWER(SUBSTITUTE(SUBSTITUTE(TRIM(Leads!V29)," ","-"),"/","-")))</f>
        <v/>
      </c>
      <c r="N29" s="13">
        <f>IF(Leads!A29="","",Leads!A29)</f>
        <v/>
      </c>
      <c r="O29" s="13">
        <f>IF(Leads!F29="","",Leads!F29)</f>
        <v/>
      </c>
      <c r="P29" s="13">
        <f>IF(Leads!V29="","",Leads!V29)</f>
        <v/>
      </c>
      <c r="Q29" s="13">
        <f>IF(Leads!W29="","",Leads!W29)</f>
        <v/>
      </c>
      <c r="R29" s="13">
        <f>IF(Leads!AO29="","",Leads!AO29)</f>
        <v/>
      </c>
      <c r="S29" s="13">
        <f>IF(Leads!U29="","",Leads!U29)</f>
        <v/>
      </c>
      <c r="T29" s="13">
        <f>IF(Leads!Z29="","",Leads!Z29)</f>
        <v/>
      </c>
      <c r="U29" s="13">
        <f>IF(Leads!AA29="","",Leads!AA29)</f>
        <v/>
      </c>
      <c r="V29" s="13">
        <f>IF(Leads!K29="","",Leads!K29)</f>
        <v/>
      </c>
    </row>
    <row r="30">
      <c r="A30" s="13">
        <f>IF(Leads!D30="","",Leads!D30)</f>
        <v/>
      </c>
      <c r="B30" s="13">
        <f>IF(Leads!I30="","",Leads!I30)</f>
        <v/>
      </c>
      <c r="C30" s="13">
        <f>IF(Leads!J30="","",Leads!J30)</f>
        <v/>
      </c>
      <c r="D30" s="13">
        <f>IF(OR(Leads!L30="",Leads!L30="Not found"),IF(OR(Leads!AR30="",Leads!AR30="Not found"),"",Leads!AR30),Leads!L30)</f>
        <v/>
      </c>
      <c r="E30" s="13">
        <f>IF(OR(Leads!O30="",Leads!O30="Not found"),Leads!P30,Leads!O30)</f>
        <v/>
      </c>
      <c r="F30" s="13">
        <f>IF(Leads!H30="","",Leads!H30)</f>
        <v/>
      </c>
      <c r="G30" s="13">
        <f>IF(Leads!AQ30="","",Leads!AQ30)</f>
        <v/>
      </c>
      <c r="H30" s="13">
        <f>IF(Leads!AS30="","",Leads!AS30)</f>
        <v/>
      </c>
      <c r="I30" s="13">
        <f>IF(Leads!S30="","",Leads!S30)</f>
        <v/>
      </c>
      <c r="J30" s="13">
        <f>IF(Leads!T30="","",Leads!T30)</f>
        <v/>
      </c>
      <c r="K30" s="13">
        <f>IF(Leads!AT30="","",Leads!AT30)</f>
        <v/>
      </c>
      <c r="L30" s="13" t="inlineStr">
        <is>
          <t>cold-outreach:lead-machine</t>
        </is>
      </c>
      <c r="M30" s="13">
        <f>IF(Leads!H30="","","cold-outreach,lead-machine,status:drafted,industry:"&amp;LOWER(SUBSTITUTE(SUBSTITUTE(SUBSTITUTE(TRIM(Leads!Q30)," ","-"),"/","-"),"&amp;","and"))&amp;",city:"&amp;LOWER(SUBSTITUTE(TRIM(Leads!S30)," ","-"))&amp;",entry:"&amp;LOWER(SUBSTITUTE(TRIM(Leads!W30)," ","-"))&amp;",attitude:"&amp;LOWER(SUBSTITUTE(SUBSTITUTE(TRIM(Leads!V30)," ","-"),"/","-")))</f>
        <v/>
      </c>
      <c r="N30" s="13">
        <f>IF(Leads!A30="","",Leads!A30)</f>
        <v/>
      </c>
      <c r="O30" s="13">
        <f>IF(Leads!F30="","",Leads!F30)</f>
        <v/>
      </c>
      <c r="P30" s="13">
        <f>IF(Leads!V30="","",Leads!V30)</f>
        <v/>
      </c>
      <c r="Q30" s="13">
        <f>IF(Leads!W30="","",Leads!W30)</f>
        <v/>
      </c>
      <c r="R30" s="13">
        <f>IF(Leads!AO30="","",Leads!AO30)</f>
        <v/>
      </c>
      <c r="S30" s="13">
        <f>IF(Leads!U30="","",Leads!U30)</f>
        <v/>
      </c>
      <c r="T30" s="13">
        <f>IF(Leads!Z30="","",Leads!Z30)</f>
        <v/>
      </c>
      <c r="U30" s="13">
        <f>IF(Leads!AA30="","",Leads!AA30)</f>
        <v/>
      </c>
      <c r="V30" s="13">
        <f>IF(Leads!K30="","",Leads!K30)</f>
        <v/>
      </c>
    </row>
    <row r="31">
      <c r="A31" s="13">
        <f>IF(Leads!D31="","",Leads!D31)</f>
        <v/>
      </c>
      <c r="B31" s="13">
        <f>IF(Leads!I31="","",Leads!I31)</f>
        <v/>
      </c>
      <c r="C31" s="13">
        <f>IF(Leads!J31="","",Leads!J31)</f>
        <v/>
      </c>
      <c r="D31" s="13">
        <f>IF(OR(Leads!L31="",Leads!L31="Not found"),IF(OR(Leads!AR31="",Leads!AR31="Not found"),"",Leads!AR31),Leads!L31)</f>
        <v/>
      </c>
      <c r="E31" s="13">
        <f>IF(OR(Leads!O31="",Leads!O31="Not found"),Leads!P31,Leads!O31)</f>
        <v/>
      </c>
      <c r="F31" s="13">
        <f>IF(Leads!H31="","",Leads!H31)</f>
        <v/>
      </c>
      <c r="G31" s="13">
        <f>IF(Leads!AQ31="","",Leads!AQ31)</f>
        <v/>
      </c>
      <c r="H31" s="13">
        <f>IF(Leads!AS31="","",Leads!AS31)</f>
        <v/>
      </c>
      <c r="I31" s="13">
        <f>IF(Leads!S31="","",Leads!S31)</f>
        <v/>
      </c>
      <c r="J31" s="13">
        <f>IF(Leads!T31="","",Leads!T31)</f>
        <v/>
      </c>
      <c r="K31" s="13">
        <f>IF(Leads!AT31="","",Leads!AT31)</f>
        <v/>
      </c>
      <c r="L31" s="13" t="inlineStr">
        <is>
          <t>cold-outreach:lead-machine</t>
        </is>
      </c>
      <c r="M31" s="13">
        <f>IF(Leads!H31="","","cold-outreach,lead-machine,status:drafted,industry:"&amp;LOWER(SUBSTITUTE(SUBSTITUTE(SUBSTITUTE(TRIM(Leads!Q31)," ","-"),"/","-"),"&amp;","and"))&amp;",city:"&amp;LOWER(SUBSTITUTE(TRIM(Leads!S31)," ","-"))&amp;",entry:"&amp;LOWER(SUBSTITUTE(TRIM(Leads!W31)," ","-"))&amp;",attitude:"&amp;LOWER(SUBSTITUTE(SUBSTITUTE(TRIM(Leads!V31)," ","-"),"/","-")))</f>
        <v/>
      </c>
      <c r="N31" s="13">
        <f>IF(Leads!A31="","",Leads!A31)</f>
        <v/>
      </c>
      <c r="O31" s="13">
        <f>IF(Leads!F31="","",Leads!F31)</f>
        <v/>
      </c>
      <c r="P31" s="13">
        <f>IF(Leads!V31="","",Leads!V31)</f>
        <v/>
      </c>
      <c r="Q31" s="13">
        <f>IF(Leads!W31="","",Leads!W31)</f>
        <v/>
      </c>
      <c r="R31" s="13">
        <f>IF(Leads!AO31="","",Leads!AO31)</f>
        <v/>
      </c>
      <c r="S31" s="13">
        <f>IF(Leads!U31="","",Leads!U31)</f>
        <v/>
      </c>
      <c r="T31" s="13">
        <f>IF(Leads!Z31="","",Leads!Z31)</f>
        <v/>
      </c>
      <c r="U31" s="13">
        <f>IF(Leads!AA31="","",Leads!AA31)</f>
        <v/>
      </c>
      <c r="V31" s="13">
        <f>IF(Leads!K31="","",Leads!K31)</f>
        <v/>
      </c>
    </row>
    <row r="32">
      <c r="A32" s="13">
        <f>IF(Leads!D32="","",Leads!D32)</f>
        <v/>
      </c>
      <c r="B32" s="13">
        <f>IF(Leads!I32="","",Leads!I32)</f>
        <v/>
      </c>
      <c r="C32" s="13">
        <f>IF(Leads!J32="","",Leads!J32)</f>
        <v/>
      </c>
      <c r="D32" s="13">
        <f>IF(OR(Leads!L32="",Leads!L32="Not found"),IF(OR(Leads!AR32="",Leads!AR32="Not found"),"",Leads!AR32),Leads!L32)</f>
        <v/>
      </c>
      <c r="E32" s="13">
        <f>IF(OR(Leads!O32="",Leads!O32="Not found"),Leads!P32,Leads!O32)</f>
        <v/>
      </c>
      <c r="F32" s="13">
        <f>IF(Leads!H32="","",Leads!H32)</f>
        <v/>
      </c>
      <c r="G32" s="13">
        <f>IF(Leads!AQ32="","",Leads!AQ32)</f>
        <v/>
      </c>
      <c r="H32" s="13">
        <f>IF(Leads!AS32="","",Leads!AS32)</f>
        <v/>
      </c>
      <c r="I32" s="13">
        <f>IF(Leads!S32="","",Leads!S32)</f>
        <v/>
      </c>
      <c r="J32" s="13">
        <f>IF(Leads!T32="","",Leads!T32)</f>
        <v/>
      </c>
      <c r="K32" s="13">
        <f>IF(Leads!AT32="","",Leads!AT32)</f>
        <v/>
      </c>
      <c r="L32" s="13" t="inlineStr">
        <is>
          <t>cold-outreach:lead-machine</t>
        </is>
      </c>
      <c r="M32" s="13">
        <f>IF(Leads!H32="","","cold-outreach,lead-machine,status:drafted,industry:"&amp;LOWER(SUBSTITUTE(SUBSTITUTE(SUBSTITUTE(TRIM(Leads!Q32)," ","-"),"/","-"),"&amp;","and"))&amp;",city:"&amp;LOWER(SUBSTITUTE(TRIM(Leads!S32)," ","-"))&amp;",entry:"&amp;LOWER(SUBSTITUTE(TRIM(Leads!W32)," ","-"))&amp;",attitude:"&amp;LOWER(SUBSTITUTE(SUBSTITUTE(TRIM(Leads!V32)," ","-"),"/","-")))</f>
        <v/>
      </c>
      <c r="N32" s="13">
        <f>IF(Leads!A32="","",Leads!A32)</f>
        <v/>
      </c>
      <c r="O32" s="13">
        <f>IF(Leads!F32="","",Leads!F32)</f>
        <v/>
      </c>
      <c r="P32" s="13">
        <f>IF(Leads!V32="","",Leads!V32)</f>
        <v/>
      </c>
      <c r="Q32" s="13">
        <f>IF(Leads!W32="","",Leads!W32)</f>
        <v/>
      </c>
      <c r="R32" s="13">
        <f>IF(Leads!AO32="","",Leads!AO32)</f>
        <v/>
      </c>
      <c r="S32" s="13">
        <f>IF(Leads!U32="","",Leads!U32)</f>
        <v/>
      </c>
      <c r="T32" s="13">
        <f>IF(Leads!Z32="","",Leads!Z32)</f>
        <v/>
      </c>
      <c r="U32" s="13">
        <f>IF(Leads!AA32="","",Leads!AA32)</f>
        <v/>
      </c>
      <c r="V32" s="13">
        <f>IF(Leads!K32="","",Leads!K32)</f>
        <v/>
      </c>
    </row>
    <row r="33">
      <c r="A33" s="13">
        <f>IF(Leads!D33="","",Leads!D33)</f>
        <v/>
      </c>
      <c r="B33" s="13">
        <f>IF(Leads!I33="","",Leads!I33)</f>
        <v/>
      </c>
      <c r="C33" s="13">
        <f>IF(Leads!J33="","",Leads!J33)</f>
        <v/>
      </c>
      <c r="D33" s="13">
        <f>IF(OR(Leads!L33="",Leads!L33="Not found"),IF(OR(Leads!AR33="",Leads!AR33="Not found"),"",Leads!AR33),Leads!L33)</f>
        <v/>
      </c>
      <c r="E33" s="13">
        <f>IF(OR(Leads!O33="",Leads!O33="Not found"),Leads!P33,Leads!O33)</f>
        <v/>
      </c>
      <c r="F33" s="13">
        <f>IF(Leads!H33="","",Leads!H33)</f>
        <v/>
      </c>
      <c r="G33" s="13">
        <f>IF(Leads!AQ33="","",Leads!AQ33)</f>
        <v/>
      </c>
      <c r="H33" s="13">
        <f>IF(Leads!AS33="","",Leads!AS33)</f>
        <v/>
      </c>
      <c r="I33" s="13">
        <f>IF(Leads!S33="","",Leads!S33)</f>
        <v/>
      </c>
      <c r="J33" s="13">
        <f>IF(Leads!T33="","",Leads!T33)</f>
        <v/>
      </c>
      <c r="K33" s="13">
        <f>IF(Leads!AT33="","",Leads!AT33)</f>
        <v/>
      </c>
      <c r="L33" s="13" t="inlineStr">
        <is>
          <t>cold-outreach:lead-machine</t>
        </is>
      </c>
      <c r="M33" s="13">
        <f>IF(Leads!H33="","","cold-outreach,lead-machine,status:drafted,industry:"&amp;LOWER(SUBSTITUTE(SUBSTITUTE(SUBSTITUTE(TRIM(Leads!Q33)," ","-"),"/","-"),"&amp;","and"))&amp;",city:"&amp;LOWER(SUBSTITUTE(TRIM(Leads!S33)," ","-"))&amp;",entry:"&amp;LOWER(SUBSTITUTE(TRIM(Leads!W33)," ","-"))&amp;",attitude:"&amp;LOWER(SUBSTITUTE(SUBSTITUTE(TRIM(Leads!V33)," ","-"),"/","-")))</f>
        <v/>
      </c>
      <c r="N33" s="13">
        <f>IF(Leads!A33="","",Leads!A33)</f>
        <v/>
      </c>
      <c r="O33" s="13">
        <f>IF(Leads!F33="","",Leads!F33)</f>
        <v/>
      </c>
      <c r="P33" s="13">
        <f>IF(Leads!V33="","",Leads!V33)</f>
        <v/>
      </c>
      <c r="Q33" s="13">
        <f>IF(Leads!W33="","",Leads!W33)</f>
        <v/>
      </c>
      <c r="R33" s="13">
        <f>IF(Leads!AO33="","",Leads!AO33)</f>
        <v/>
      </c>
      <c r="S33" s="13">
        <f>IF(Leads!U33="","",Leads!U33)</f>
        <v/>
      </c>
      <c r="T33" s="13">
        <f>IF(Leads!Z33="","",Leads!Z33)</f>
        <v/>
      </c>
      <c r="U33" s="13">
        <f>IF(Leads!AA33="","",Leads!AA33)</f>
        <v/>
      </c>
      <c r="V33" s="13">
        <f>IF(Leads!K33="","",Leads!K33)</f>
        <v/>
      </c>
    </row>
    <row r="34">
      <c r="A34" s="13">
        <f>IF(Leads!D34="","",Leads!D34)</f>
        <v/>
      </c>
      <c r="B34" s="13">
        <f>IF(Leads!I34="","",Leads!I34)</f>
        <v/>
      </c>
      <c r="C34" s="13">
        <f>IF(Leads!J34="","",Leads!J34)</f>
        <v/>
      </c>
      <c r="D34" s="13">
        <f>IF(OR(Leads!L34="",Leads!L34="Not found"),IF(OR(Leads!AR34="",Leads!AR34="Not found"),"",Leads!AR34),Leads!L34)</f>
        <v/>
      </c>
      <c r="E34" s="13">
        <f>IF(OR(Leads!O34="",Leads!O34="Not found"),Leads!P34,Leads!O34)</f>
        <v/>
      </c>
      <c r="F34" s="13">
        <f>IF(Leads!H34="","",Leads!H34)</f>
        <v/>
      </c>
      <c r="G34" s="13">
        <f>IF(Leads!AQ34="","",Leads!AQ34)</f>
        <v/>
      </c>
      <c r="H34" s="13">
        <f>IF(Leads!AS34="","",Leads!AS34)</f>
        <v/>
      </c>
      <c r="I34" s="13">
        <f>IF(Leads!S34="","",Leads!S34)</f>
        <v/>
      </c>
      <c r="J34" s="13">
        <f>IF(Leads!T34="","",Leads!T34)</f>
        <v/>
      </c>
      <c r="K34" s="13">
        <f>IF(Leads!AT34="","",Leads!AT34)</f>
        <v/>
      </c>
      <c r="L34" s="13" t="inlineStr">
        <is>
          <t>cold-outreach:lead-machine</t>
        </is>
      </c>
      <c r="M34" s="13">
        <f>IF(Leads!H34="","","cold-outreach,lead-machine,status:drafted,industry:"&amp;LOWER(SUBSTITUTE(SUBSTITUTE(SUBSTITUTE(TRIM(Leads!Q34)," ","-"),"/","-"),"&amp;","and"))&amp;",city:"&amp;LOWER(SUBSTITUTE(TRIM(Leads!S34)," ","-"))&amp;",entry:"&amp;LOWER(SUBSTITUTE(TRIM(Leads!W34)," ","-"))&amp;",attitude:"&amp;LOWER(SUBSTITUTE(SUBSTITUTE(TRIM(Leads!V34)," ","-"),"/","-")))</f>
        <v/>
      </c>
      <c r="N34" s="13">
        <f>IF(Leads!A34="","",Leads!A34)</f>
        <v/>
      </c>
      <c r="O34" s="13">
        <f>IF(Leads!F34="","",Leads!F34)</f>
        <v/>
      </c>
      <c r="P34" s="13">
        <f>IF(Leads!V34="","",Leads!V34)</f>
        <v/>
      </c>
      <c r="Q34" s="13">
        <f>IF(Leads!W34="","",Leads!W34)</f>
        <v/>
      </c>
      <c r="R34" s="13">
        <f>IF(Leads!AO34="","",Leads!AO34)</f>
        <v/>
      </c>
      <c r="S34" s="13">
        <f>IF(Leads!U34="","",Leads!U34)</f>
        <v/>
      </c>
      <c r="T34" s="13">
        <f>IF(Leads!Z34="","",Leads!Z34)</f>
        <v/>
      </c>
      <c r="U34" s="13">
        <f>IF(Leads!AA34="","",Leads!AA34)</f>
        <v/>
      </c>
      <c r="V34" s="13">
        <f>IF(Leads!K34="","",Leads!K34)</f>
        <v/>
      </c>
    </row>
    <row r="35">
      <c r="A35" s="13">
        <f>IF(Leads!D35="","",Leads!D35)</f>
        <v/>
      </c>
      <c r="B35" s="13">
        <f>IF(Leads!I35="","",Leads!I35)</f>
        <v/>
      </c>
      <c r="C35" s="13">
        <f>IF(Leads!J35="","",Leads!J35)</f>
        <v/>
      </c>
      <c r="D35" s="13">
        <f>IF(OR(Leads!L35="",Leads!L35="Not found"),IF(OR(Leads!AR35="",Leads!AR35="Not found"),"",Leads!AR35),Leads!L35)</f>
        <v/>
      </c>
      <c r="E35" s="13">
        <f>IF(OR(Leads!O35="",Leads!O35="Not found"),Leads!P35,Leads!O35)</f>
        <v/>
      </c>
      <c r="F35" s="13">
        <f>IF(Leads!H35="","",Leads!H35)</f>
        <v/>
      </c>
      <c r="G35" s="13">
        <f>IF(Leads!AQ35="","",Leads!AQ35)</f>
        <v/>
      </c>
      <c r="H35" s="13">
        <f>IF(Leads!AS35="","",Leads!AS35)</f>
        <v/>
      </c>
      <c r="I35" s="13">
        <f>IF(Leads!S35="","",Leads!S35)</f>
        <v/>
      </c>
      <c r="J35" s="13">
        <f>IF(Leads!T35="","",Leads!T35)</f>
        <v/>
      </c>
      <c r="K35" s="13">
        <f>IF(Leads!AT35="","",Leads!AT35)</f>
        <v/>
      </c>
      <c r="L35" s="13" t="inlineStr">
        <is>
          <t>cold-outreach:lead-machine</t>
        </is>
      </c>
      <c r="M35" s="13">
        <f>IF(Leads!H35="","","cold-outreach,lead-machine,status:drafted,industry:"&amp;LOWER(SUBSTITUTE(SUBSTITUTE(SUBSTITUTE(TRIM(Leads!Q35)," ","-"),"/","-"),"&amp;","and"))&amp;",city:"&amp;LOWER(SUBSTITUTE(TRIM(Leads!S35)," ","-"))&amp;",entry:"&amp;LOWER(SUBSTITUTE(TRIM(Leads!W35)," ","-"))&amp;",attitude:"&amp;LOWER(SUBSTITUTE(SUBSTITUTE(TRIM(Leads!V35)," ","-"),"/","-")))</f>
        <v/>
      </c>
      <c r="N35" s="13">
        <f>IF(Leads!A35="","",Leads!A35)</f>
        <v/>
      </c>
      <c r="O35" s="13">
        <f>IF(Leads!F35="","",Leads!F35)</f>
        <v/>
      </c>
      <c r="P35" s="13">
        <f>IF(Leads!V35="","",Leads!V35)</f>
        <v/>
      </c>
      <c r="Q35" s="13">
        <f>IF(Leads!W35="","",Leads!W35)</f>
        <v/>
      </c>
      <c r="R35" s="13">
        <f>IF(Leads!AO35="","",Leads!AO35)</f>
        <v/>
      </c>
      <c r="S35" s="13">
        <f>IF(Leads!U35="","",Leads!U35)</f>
        <v/>
      </c>
      <c r="T35" s="13">
        <f>IF(Leads!Z35="","",Leads!Z35)</f>
        <v/>
      </c>
      <c r="U35" s="13">
        <f>IF(Leads!AA35="","",Leads!AA35)</f>
        <v/>
      </c>
      <c r="V35" s="13">
        <f>IF(Leads!K35="","",Leads!K35)</f>
        <v/>
      </c>
    </row>
    <row r="36">
      <c r="A36" s="13">
        <f>IF(Leads!D36="","",Leads!D36)</f>
        <v/>
      </c>
      <c r="B36" s="13">
        <f>IF(Leads!I36="","",Leads!I36)</f>
        <v/>
      </c>
      <c r="C36" s="13">
        <f>IF(Leads!J36="","",Leads!J36)</f>
        <v/>
      </c>
      <c r="D36" s="13">
        <f>IF(OR(Leads!L36="",Leads!L36="Not found"),IF(OR(Leads!AR36="",Leads!AR36="Not found"),"",Leads!AR36),Leads!L36)</f>
        <v/>
      </c>
      <c r="E36" s="13">
        <f>IF(OR(Leads!O36="",Leads!O36="Not found"),Leads!P36,Leads!O36)</f>
        <v/>
      </c>
      <c r="F36" s="13">
        <f>IF(Leads!H36="","",Leads!H36)</f>
        <v/>
      </c>
      <c r="G36" s="13">
        <f>IF(Leads!AQ36="","",Leads!AQ36)</f>
        <v/>
      </c>
      <c r="H36" s="13">
        <f>IF(Leads!AS36="","",Leads!AS36)</f>
        <v/>
      </c>
      <c r="I36" s="13">
        <f>IF(Leads!S36="","",Leads!S36)</f>
        <v/>
      </c>
      <c r="J36" s="13">
        <f>IF(Leads!T36="","",Leads!T36)</f>
        <v/>
      </c>
      <c r="K36" s="13">
        <f>IF(Leads!AT36="","",Leads!AT36)</f>
        <v/>
      </c>
      <c r="L36" s="13" t="inlineStr">
        <is>
          <t>cold-outreach:lead-machine</t>
        </is>
      </c>
      <c r="M36" s="13">
        <f>IF(Leads!H36="","","cold-outreach,lead-machine,status:drafted,industry:"&amp;LOWER(SUBSTITUTE(SUBSTITUTE(SUBSTITUTE(TRIM(Leads!Q36)," ","-"),"/","-"),"&amp;","and"))&amp;",city:"&amp;LOWER(SUBSTITUTE(TRIM(Leads!S36)," ","-"))&amp;",entry:"&amp;LOWER(SUBSTITUTE(TRIM(Leads!W36)," ","-"))&amp;",attitude:"&amp;LOWER(SUBSTITUTE(SUBSTITUTE(TRIM(Leads!V36)," ","-"),"/","-")))</f>
        <v/>
      </c>
      <c r="N36" s="13">
        <f>IF(Leads!A36="","",Leads!A36)</f>
        <v/>
      </c>
      <c r="O36" s="13">
        <f>IF(Leads!F36="","",Leads!F36)</f>
        <v/>
      </c>
      <c r="P36" s="13">
        <f>IF(Leads!V36="","",Leads!V36)</f>
        <v/>
      </c>
      <c r="Q36" s="13">
        <f>IF(Leads!W36="","",Leads!W36)</f>
        <v/>
      </c>
      <c r="R36" s="13">
        <f>IF(Leads!AO36="","",Leads!AO36)</f>
        <v/>
      </c>
      <c r="S36" s="13">
        <f>IF(Leads!U36="","",Leads!U36)</f>
        <v/>
      </c>
      <c r="T36" s="13">
        <f>IF(Leads!Z36="","",Leads!Z36)</f>
        <v/>
      </c>
      <c r="U36" s="13">
        <f>IF(Leads!AA36="","",Leads!AA36)</f>
        <v/>
      </c>
      <c r="V36" s="13">
        <f>IF(Leads!K36="","",Leads!K36)</f>
        <v/>
      </c>
    </row>
    <row r="37">
      <c r="A37" s="13">
        <f>IF(Leads!D37="","",Leads!D37)</f>
        <v/>
      </c>
      <c r="B37" s="13">
        <f>IF(Leads!I37="","",Leads!I37)</f>
        <v/>
      </c>
      <c r="C37" s="13">
        <f>IF(Leads!J37="","",Leads!J37)</f>
        <v/>
      </c>
      <c r="D37" s="13">
        <f>IF(OR(Leads!L37="",Leads!L37="Not found"),IF(OR(Leads!AR37="",Leads!AR37="Not found"),"",Leads!AR37),Leads!L37)</f>
        <v/>
      </c>
      <c r="E37" s="13">
        <f>IF(OR(Leads!O37="",Leads!O37="Not found"),Leads!P37,Leads!O37)</f>
        <v/>
      </c>
      <c r="F37" s="13">
        <f>IF(Leads!H37="","",Leads!H37)</f>
        <v/>
      </c>
      <c r="G37" s="13">
        <f>IF(Leads!AQ37="","",Leads!AQ37)</f>
        <v/>
      </c>
      <c r="H37" s="13">
        <f>IF(Leads!AS37="","",Leads!AS37)</f>
        <v/>
      </c>
      <c r="I37" s="13">
        <f>IF(Leads!S37="","",Leads!S37)</f>
        <v/>
      </c>
      <c r="J37" s="13">
        <f>IF(Leads!T37="","",Leads!T37)</f>
        <v/>
      </c>
      <c r="K37" s="13">
        <f>IF(Leads!AT37="","",Leads!AT37)</f>
        <v/>
      </c>
      <c r="L37" s="13" t="inlineStr">
        <is>
          <t>cold-outreach:lead-machine</t>
        </is>
      </c>
      <c r="M37" s="13">
        <f>IF(Leads!H37="","","cold-outreach,lead-machine,status:drafted,industry:"&amp;LOWER(SUBSTITUTE(SUBSTITUTE(SUBSTITUTE(TRIM(Leads!Q37)," ","-"),"/","-"),"&amp;","and"))&amp;",city:"&amp;LOWER(SUBSTITUTE(TRIM(Leads!S37)," ","-"))&amp;",entry:"&amp;LOWER(SUBSTITUTE(TRIM(Leads!W37)," ","-"))&amp;",attitude:"&amp;LOWER(SUBSTITUTE(SUBSTITUTE(TRIM(Leads!V37)," ","-"),"/","-")))</f>
        <v/>
      </c>
      <c r="N37" s="13">
        <f>IF(Leads!A37="","",Leads!A37)</f>
        <v/>
      </c>
      <c r="O37" s="13">
        <f>IF(Leads!F37="","",Leads!F37)</f>
        <v/>
      </c>
      <c r="P37" s="13">
        <f>IF(Leads!V37="","",Leads!V37)</f>
        <v/>
      </c>
      <c r="Q37" s="13">
        <f>IF(Leads!W37="","",Leads!W37)</f>
        <v/>
      </c>
      <c r="R37" s="13">
        <f>IF(Leads!AO37="","",Leads!AO37)</f>
        <v/>
      </c>
      <c r="S37" s="13">
        <f>IF(Leads!U37="","",Leads!U37)</f>
        <v/>
      </c>
      <c r="T37" s="13">
        <f>IF(Leads!Z37="","",Leads!Z37)</f>
        <v/>
      </c>
      <c r="U37" s="13">
        <f>IF(Leads!AA37="","",Leads!AA37)</f>
        <v/>
      </c>
      <c r="V37" s="13">
        <f>IF(Leads!K37="","",Leads!K37)</f>
        <v/>
      </c>
    </row>
    <row r="38">
      <c r="A38" s="13">
        <f>IF(Leads!D38="","",Leads!D38)</f>
        <v/>
      </c>
      <c r="B38" s="13">
        <f>IF(Leads!I38="","",Leads!I38)</f>
        <v/>
      </c>
      <c r="C38" s="13">
        <f>IF(Leads!J38="","",Leads!J38)</f>
        <v/>
      </c>
      <c r="D38" s="13">
        <f>IF(OR(Leads!L38="",Leads!L38="Not found"),IF(OR(Leads!AR38="",Leads!AR38="Not found"),"",Leads!AR38),Leads!L38)</f>
        <v/>
      </c>
      <c r="E38" s="13">
        <f>IF(OR(Leads!O38="",Leads!O38="Not found"),Leads!P38,Leads!O38)</f>
        <v/>
      </c>
      <c r="F38" s="13">
        <f>IF(Leads!H38="","",Leads!H38)</f>
        <v/>
      </c>
      <c r="G38" s="13">
        <f>IF(Leads!AQ38="","",Leads!AQ38)</f>
        <v/>
      </c>
      <c r="H38" s="13">
        <f>IF(Leads!AS38="","",Leads!AS38)</f>
        <v/>
      </c>
      <c r="I38" s="13">
        <f>IF(Leads!S38="","",Leads!S38)</f>
        <v/>
      </c>
      <c r="J38" s="13">
        <f>IF(Leads!T38="","",Leads!T38)</f>
        <v/>
      </c>
      <c r="K38" s="13">
        <f>IF(Leads!AT38="","",Leads!AT38)</f>
        <v/>
      </c>
      <c r="L38" s="13" t="inlineStr">
        <is>
          <t>cold-outreach:lead-machine</t>
        </is>
      </c>
      <c r="M38" s="13">
        <f>IF(Leads!H38="","","cold-outreach,lead-machine,status:drafted,industry:"&amp;LOWER(SUBSTITUTE(SUBSTITUTE(SUBSTITUTE(TRIM(Leads!Q38)," ","-"),"/","-"),"&amp;","and"))&amp;",city:"&amp;LOWER(SUBSTITUTE(TRIM(Leads!S38)," ","-"))&amp;",entry:"&amp;LOWER(SUBSTITUTE(TRIM(Leads!W38)," ","-"))&amp;",attitude:"&amp;LOWER(SUBSTITUTE(SUBSTITUTE(TRIM(Leads!V38)," ","-"),"/","-")))</f>
        <v/>
      </c>
      <c r="N38" s="13">
        <f>IF(Leads!A38="","",Leads!A38)</f>
        <v/>
      </c>
      <c r="O38" s="13">
        <f>IF(Leads!F38="","",Leads!F38)</f>
        <v/>
      </c>
      <c r="P38" s="13">
        <f>IF(Leads!V38="","",Leads!V38)</f>
        <v/>
      </c>
      <c r="Q38" s="13">
        <f>IF(Leads!W38="","",Leads!W38)</f>
        <v/>
      </c>
      <c r="R38" s="13">
        <f>IF(Leads!AO38="","",Leads!AO38)</f>
        <v/>
      </c>
      <c r="S38" s="13">
        <f>IF(Leads!U38="","",Leads!U38)</f>
        <v/>
      </c>
      <c r="T38" s="13">
        <f>IF(Leads!Z38="","",Leads!Z38)</f>
        <v/>
      </c>
      <c r="U38" s="13">
        <f>IF(Leads!AA38="","",Leads!AA38)</f>
        <v/>
      </c>
      <c r="V38" s="13">
        <f>IF(Leads!K38="","",Leads!K38)</f>
        <v/>
      </c>
    </row>
    <row r="39">
      <c r="A39" s="13">
        <f>IF(Leads!D39="","",Leads!D39)</f>
        <v/>
      </c>
      <c r="B39" s="13">
        <f>IF(Leads!I39="","",Leads!I39)</f>
        <v/>
      </c>
      <c r="C39" s="13">
        <f>IF(Leads!J39="","",Leads!J39)</f>
        <v/>
      </c>
      <c r="D39" s="13">
        <f>IF(OR(Leads!L39="",Leads!L39="Not found"),IF(OR(Leads!AR39="",Leads!AR39="Not found"),"",Leads!AR39),Leads!L39)</f>
        <v/>
      </c>
      <c r="E39" s="13">
        <f>IF(OR(Leads!O39="",Leads!O39="Not found"),Leads!P39,Leads!O39)</f>
        <v/>
      </c>
      <c r="F39" s="13">
        <f>IF(Leads!H39="","",Leads!H39)</f>
        <v/>
      </c>
      <c r="G39" s="13">
        <f>IF(Leads!AQ39="","",Leads!AQ39)</f>
        <v/>
      </c>
      <c r="H39" s="13">
        <f>IF(Leads!AS39="","",Leads!AS39)</f>
        <v/>
      </c>
      <c r="I39" s="13">
        <f>IF(Leads!S39="","",Leads!S39)</f>
        <v/>
      </c>
      <c r="J39" s="13">
        <f>IF(Leads!T39="","",Leads!T39)</f>
        <v/>
      </c>
      <c r="K39" s="13">
        <f>IF(Leads!AT39="","",Leads!AT39)</f>
        <v/>
      </c>
      <c r="L39" s="13" t="inlineStr">
        <is>
          <t>cold-outreach:lead-machine</t>
        </is>
      </c>
      <c r="M39" s="13">
        <f>IF(Leads!H39="","","cold-outreach,lead-machine,status:drafted,industry:"&amp;LOWER(SUBSTITUTE(SUBSTITUTE(SUBSTITUTE(TRIM(Leads!Q39)," ","-"),"/","-"),"&amp;","and"))&amp;",city:"&amp;LOWER(SUBSTITUTE(TRIM(Leads!S39)," ","-"))&amp;",entry:"&amp;LOWER(SUBSTITUTE(TRIM(Leads!W39)," ","-"))&amp;",attitude:"&amp;LOWER(SUBSTITUTE(SUBSTITUTE(TRIM(Leads!V39)," ","-"),"/","-")))</f>
        <v/>
      </c>
      <c r="N39" s="13">
        <f>IF(Leads!A39="","",Leads!A39)</f>
        <v/>
      </c>
      <c r="O39" s="13">
        <f>IF(Leads!F39="","",Leads!F39)</f>
        <v/>
      </c>
      <c r="P39" s="13">
        <f>IF(Leads!V39="","",Leads!V39)</f>
        <v/>
      </c>
      <c r="Q39" s="13">
        <f>IF(Leads!W39="","",Leads!W39)</f>
        <v/>
      </c>
      <c r="R39" s="13">
        <f>IF(Leads!AO39="","",Leads!AO39)</f>
        <v/>
      </c>
      <c r="S39" s="13">
        <f>IF(Leads!U39="","",Leads!U39)</f>
        <v/>
      </c>
      <c r="T39" s="13">
        <f>IF(Leads!Z39="","",Leads!Z39)</f>
        <v/>
      </c>
      <c r="U39" s="13">
        <f>IF(Leads!AA39="","",Leads!AA39)</f>
        <v/>
      </c>
      <c r="V39" s="13">
        <f>IF(Leads!K39="","",Leads!K39)</f>
        <v/>
      </c>
    </row>
    <row r="40">
      <c r="A40" s="13">
        <f>IF(Leads!D40="","",Leads!D40)</f>
        <v/>
      </c>
      <c r="B40" s="13">
        <f>IF(Leads!I40="","",Leads!I40)</f>
        <v/>
      </c>
      <c r="C40" s="13">
        <f>IF(Leads!J40="","",Leads!J40)</f>
        <v/>
      </c>
      <c r="D40" s="13">
        <f>IF(OR(Leads!L40="",Leads!L40="Not found"),IF(OR(Leads!AR40="",Leads!AR40="Not found"),"",Leads!AR40),Leads!L40)</f>
        <v/>
      </c>
      <c r="E40" s="13">
        <f>IF(OR(Leads!O40="",Leads!O40="Not found"),Leads!P40,Leads!O40)</f>
        <v/>
      </c>
      <c r="F40" s="13">
        <f>IF(Leads!H40="","",Leads!H40)</f>
        <v/>
      </c>
      <c r="G40" s="13">
        <f>IF(Leads!AQ40="","",Leads!AQ40)</f>
        <v/>
      </c>
      <c r="H40" s="13">
        <f>IF(Leads!AS40="","",Leads!AS40)</f>
        <v/>
      </c>
      <c r="I40" s="13">
        <f>IF(Leads!S40="","",Leads!S40)</f>
        <v/>
      </c>
      <c r="J40" s="13">
        <f>IF(Leads!T40="","",Leads!T40)</f>
        <v/>
      </c>
      <c r="K40" s="13">
        <f>IF(Leads!AT40="","",Leads!AT40)</f>
        <v/>
      </c>
      <c r="L40" s="13" t="inlineStr">
        <is>
          <t>cold-outreach:lead-machine</t>
        </is>
      </c>
      <c r="M40" s="13">
        <f>IF(Leads!H40="","","cold-outreach,lead-machine,status:drafted,industry:"&amp;LOWER(SUBSTITUTE(SUBSTITUTE(SUBSTITUTE(TRIM(Leads!Q40)," ","-"),"/","-"),"&amp;","and"))&amp;",city:"&amp;LOWER(SUBSTITUTE(TRIM(Leads!S40)," ","-"))&amp;",entry:"&amp;LOWER(SUBSTITUTE(TRIM(Leads!W40)," ","-"))&amp;",attitude:"&amp;LOWER(SUBSTITUTE(SUBSTITUTE(TRIM(Leads!V40)," ","-"),"/","-")))</f>
        <v/>
      </c>
      <c r="N40" s="13">
        <f>IF(Leads!A40="","",Leads!A40)</f>
        <v/>
      </c>
      <c r="O40" s="13">
        <f>IF(Leads!F40="","",Leads!F40)</f>
        <v/>
      </c>
      <c r="P40" s="13">
        <f>IF(Leads!V40="","",Leads!V40)</f>
        <v/>
      </c>
      <c r="Q40" s="13">
        <f>IF(Leads!W40="","",Leads!W40)</f>
        <v/>
      </c>
      <c r="R40" s="13">
        <f>IF(Leads!AO40="","",Leads!AO40)</f>
        <v/>
      </c>
      <c r="S40" s="13">
        <f>IF(Leads!U40="","",Leads!U40)</f>
        <v/>
      </c>
      <c r="T40" s="13">
        <f>IF(Leads!Z40="","",Leads!Z40)</f>
        <v/>
      </c>
      <c r="U40" s="13">
        <f>IF(Leads!AA40="","",Leads!AA40)</f>
        <v/>
      </c>
      <c r="V40" s="13">
        <f>IF(Leads!K40="","",Leads!K40)</f>
        <v/>
      </c>
    </row>
    <row r="41">
      <c r="A41" s="13">
        <f>IF(Leads!D41="","",Leads!D41)</f>
        <v/>
      </c>
      <c r="B41" s="13">
        <f>IF(Leads!I41="","",Leads!I41)</f>
        <v/>
      </c>
      <c r="C41" s="13">
        <f>IF(Leads!J41="","",Leads!J41)</f>
        <v/>
      </c>
      <c r="D41" s="13">
        <f>IF(OR(Leads!L41="",Leads!L41="Not found"),IF(OR(Leads!AR41="",Leads!AR41="Not found"),"",Leads!AR41),Leads!L41)</f>
        <v/>
      </c>
      <c r="E41" s="13">
        <f>IF(OR(Leads!O41="",Leads!O41="Not found"),Leads!P41,Leads!O41)</f>
        <v/>
      </c>
      <c r="F41" s="13">
        <f>IF(Leads!H41="","",Leads!H41)</f>
        <v/>
      </c>
      <c r="G41" s="13">
        <f>IF(Leads!AQ41="","",Leads!AQ41)</f>
        <v/>
      </c>
      <c r="H41" s="13">
        <f>IF(Leads!AS41="","",Leads!AS41)</f>
        <v/>
      </c>
      <c r="I41" s="13">
        <f>IF(Leads!S41="","",Leads!S41)</f>
        <v/>
      </c>
      <c r="J41" s="13">
        <f>IF(Leads!T41="","",Leads!T41)</f>
        <v/>
      </c>
      <c r="K41" s="13">
        <f>IF(Leads!AT41="","",Leads!AT41)</f>
        <v/>
      </c>
      <c r="L41" s="13" t="inlineStr">
        <is>
          <t>cold-outreach:lead-machine</t>
        </is>
      </c>
      <c r="M41" s="13">
        <f>IF(Leads!H41="","","cold-outreach,lead-machine,status:drafted,industry:"&amp;LOWER(SUBSTITUTE(SUBSTITUTE(SUBSTITUTE(TRIM(Leads!Q41)," ","-"),"/","-"),"&amp;","and"))&amp;",city:"&amp;LOWER(SUBSTITUTE(TRIM(Leads!S41)," ","-"))&amp;",entry:"&amp;LOWER(SUBSTITUTE(TRIM(Leads!W41)," ","-"))&amp;",attitude:"&amp;LOWER(SUBSTITUTE(SUBSTITUTE(TRIM(Leads!V41)," ","-"),"/","-")))</f>
        <v/>
      </c>
      <c r="N41" s="13">
        <f>IF(Leads!A41="","",Leads!A41)</f>
        <v/>
      </c>
      <c r="O41" s="13">
        <f>IF(Leads!F41="","",Leads!F41)</f>
        <v/>
      </c>
      <c r="P41" s="13">
        <f>IF(Leads!V41="","",Leads!V41)</f>
        <v/>
      </c>
      <c r="Q41" s="13">
        <f>IF(Leads!W41="","",Leads!W41)</f>
        <v/>
      </c>
      <c r="R41" s="13">
        <f>IF(Leads!AO41="","",Leads!AO41)</f>
        <v/>
      </c>
      <c r="S41" s="13">
        <f>IF(Leads!U41="","",Leads!U41)</f>
        <v/>
      </c>
      <c r="T41" s="13">
        <f>IF(Leads!Z41="","",Leads!Z41)</f>
        <v/>
      </c>
      <c r="U41" s="13">
        <f>IF(Leads!AA41="","",Leads!AA41)</f>
        <v/>
      </c>
      <c r="V41" s="13">
        <f>IF(Leads!K41="","",Leads!K41)</f>
        <v/>
      </c>
    </row>
    <row r="42">
      <c r="A42" s="13">
        <f>IF(Leads!D42="","",Leads!D42)</f>
        <v/>
      </c>
      <c r="B42" s="13">
        <f>IF(Leads!I42="","",Leads!I42)</f>
        <v/>
      </c>
      <c r="C42" s="13">
        <f>IF(Leads!J42="","",Leads!J42)</f>
        <v/>
      </c>
      <c r="D42" s="13">
        <f>IF(OR(Leads!L42="",Leads!L42="Not found"),IF(OR(Leads!AR42="",Leads!AR42="Not found"),"",Leads!AR42),Leads!L42)</f>
        <v/>
      </c>
      <c r="E42" s="13">
        <f>IF(OR(Leads!O42="",Leads!O42="Not found"),Leads!P42,Leads!O42)</f>
        <v/>
      </c>
      <c r="F42" s="13">
        <f>IF(Leads!H42="","",Leads!H42)</f>
        <v/>
      </c>
      <c r="G42" s="13">
        <f>IF(Leads!AQ42="","",Leads!AQ42)</f>
        <v/>
      </c>
      <c r="H42" s="13">
        <f>IF(Leads!AS42="","",Leads!AS42)</f>
        <v/>
      </c>
      <c r="I42" s="13">
        <f>IF(Leads!S42="","",Leads!S42)</f>
        <v/>
      </c>
      <c r="J42" s="13">
        <f>IF(Leads!T42="","",Leads!T42)</f>
        <v/>
      </c>
      <c r="K42" s="13">
        <f>IF(Leads!AT42="","",Leads!AT42)</f>
        <v/>
      </c>
      <c r="L42" s="13" t="inlineStr">
        <is>
          <t>cold-outreach:lead-machine</t>
        </is>
      </c>
      <c r="M42" s="13">
        <f>IF(Leads!H42="","","cold-outreach,lead-machine,status:drafted,industry:"&amp;LOWER(SUBSTITUTE(SUBSTITUTE(SUBSTITUTE(TRIM(Leads!Q42)," ","-"),"/","-"),"&amp;","and"))&amp;",city:"&amp;LOWER(SUBSTITUTE(TRIM(Leads!S42)," ","-"))&amp;",entry:"&amp;LOWER(SUBSTITUTE(TRIM(Leads!W42)," ","-"))&amp;",attitude:"&amp;LOWER(SUBSTITUTE(SUBSTITUTE(TRIM(Leads!V42)," ","-"),"/","-")))</f>
        <v/>
      </c>
      <c r="N42" s="13">
        <f>IF(Leads!A42="","",Leads!A42)</f>
        <v/>
      </c>
      <c r="O42" s="13">
        <f>IF(Leads!F42="","",Leads!F42)</f>
        <v/>
      </c>
      <c r="P42" s="13">
        <f>IF(Leads!V42="","",Leads!V42)</f>
        <v/>
      </c>
      <c r="Q42" s="13">
        <f>IF(Leads!W42="","",Leads!W42)</f>
        <v/>
      </c>
      <c r="R42" s="13">
        <f>IF(Leads!AO42="","",Leads!AO42)</f>
        <v/>
      </c>
      <c r="S42" s="13">
        <f>IF(Leads!U42="","",Leads!U42)</f>
        <v/>
      </c>
      <c r="T42" s="13">
        <f>IF(Leads!Z42="","",Leads!Z42)</f>
        <v/>
      </c>
      <c r="U42" s="13">
        <f>IF(Leads!AA42="","",Leads!AA42)</f>
        <v/>
      </c>
      <c r="V42" s="13">
        <f>IF(Leads!K42="","",Leads!K42)</f>
        <v/>
      </c>
    </row>
    <row r="43">
      <c r="A43" s="13">
        <f>IF(Leads!D43="","",Leads!D43)</f>
        <v/>
      </c>
      <c r="B43" s="13">
        <f>IF(Leads!I43="","",Leads!I43)</f>
        <v/>
      </c>
      <c r="C43" s="13">
        <f>IF(Leads!J43="","",Leads!J43)</f>
        <v/>
      </c>
      <c r="D43" s="13">
        <f>IF(OR(Leads!L43="",Leads!L43="Not found"),IF(OR(Leads!AR43="",Leads!AR43="Not found"),"",Leads!AR43),Leads!L43)</f>
        <v/>
      </c>
      <c r="E43" s="13">
        <f>IF(OR(Leads!O43="",Leads!O43="Not found"),Leads!P43,Leads!O43)</f>
        <v/>
      </c>
      <c r="F43" s="13">
        <f>IF(Leads!H43="","",Leads!H43)</f>
        <v/>
      </c>
      <c r="G43" s="13">
        <f>IF(Leads!AQ43="","",Leads!AQ43)</f>
        <v/>
      </c>
      <c r="H43" s="13">
        <f>IF(Leads!AS43="","",Leads!AS43)</f>
        <v/>
      </c>
      <c r="I43" s="13">
        <f>IF(Leads!S43="","",Leads!S43)</f>
        <v/>
      </c>
      <c r="J43" s="13">
        <f>IF(Leads!T43="","",Leads!T43)</f>
        <v/>
      </c>
      <c r="K43" s="13">
        <f>IF(Leads!AT43="","",Leads!AT43)</f>
        <v/>
      </c>
      <c r="L43" s="13" t="inlineStr">
        <is>
          <t>cold-outreach:lead-machine</t>
        </is>
      </c>
      <c r="M43" s="13">
        <f>IF(Leads!H43="","","cold-outreach,lead-machine,status:drafted,industry:"&amp;LOWER(SUBSTITUTE(SUBSTITUTE(SUBSTITUTE(TRIM(Leads!Q43)," ","-"),"/","-"),"&amp;","and"))&amp;",city:"&amp;LOWER(SUBSTITUTE(TRIM(Leads!S43)," ","-"))&amp;",entry:"&amp;LOWER(SUBSTITUTE(TRIM(Leads!W43)," ","-"))&amp;",attitude:"&amp;LOWER(SUBSTITUTE(SUBSTITUTE(TRIM(Leads!V43)," ","-"),"/","-")))</f>
        <v/>
      </c>
      <c r="N43" s="13">
        <f>IF(Leads!A43="","",Leads!A43)</f>
        <v/>
      </c>
      <c r="O43" s="13">
        <f>IF(Leads!F43="","",Leads!F43)</f>
        <v/>
      </c>
      <c r="P43" s="13">
        <f>IF(Leads!V43="","",Leads!V43)</f>
        <v/>
      </c>
      <c r="Q43" s="13">
        <f>IF(Leads!W43="","",Leads!W43)</f>
        <v/>
      </c>
      <c r="R43" s="13">
        <f>IF(Leads!AO43="","",Leads!AO43)</f>
        <v/>
      </c>
      <c r="S43" s="13">
        <f>IF(Leads!U43="","",Leads!U43)</f>
        <v/>
      </c>
      <c r="T43" s="13">
        <f>IF(Leads!Z43="","",Leads!Z43)</f>
        <v/>
      </c>
      <c r="U43" s="13">
        <f>IF(Leads!AA43="","",Leads!AA43)</f>
        <v/>
      </c>
      <c r="V43" s="13">
        <f>IF(Leads!K43="","",Leads!K43)</f>
        <v/>
      </c>
    </row>
    <row r="44">
      <c r="A44" s="13">
        <f>IF(Leads!D44="","",Leads!D44)</f>
        <v/>
      </c>
      <c r="B44" s="13">
        <f>IF(Leads!I44="","",Leads!I44)</f>
        <v/>
      </c>
      <c r="C44" s="13">
        <f>IF(Leads!J44="","",Leads!J44)</f>
        <v/>
      </c>
      <c r="D44" s="13">
        <f>IF(OR(Leads!L44="",Leads!L44="Not found"),IF(OR(Leads!AR44="",Leads!AR44="Not found"),"",Leads!AR44),Leads!L44)</f>
        <v/>
      </c>
      <c r="E44" s="13">
        <f>IF(OR(Leads!O44="",Leads!O44="Not found"),Leads!P44,Leads!O44)</f>
        <v/>
      </c>
      <c r="F44" s="13">
        <f>IF(Leads!H44="","",Leads!H44)</f>
        <v/>
      </c>
      <c r="G44" s="13">
        <f>IF(Leads!AQ44="","",Leads!AQ44)</f>
        <v/>
      </c>
      <c r="H44" s="13">
        <f>IF(Leads!AS44="","",Leads!AS44)</f>
        <v/>
      </c>
      <c r="I44" s="13">
        <f>IF(Leads!S44="","",Leads!S44)</f>
        <v/>
      </c>
      <c r="J44" s="13">
        <f>IF(Leads!T44="","",Leads!T44)</f>
        <v/>
      </c>
      <c r="K44" s="13">
        <f>IF(Leads!AT44="","",Leads!AT44)</f>
        <v/>
      </c>
      <c r="L44" s="13" t="inlineStr">
        <is>
          <t>cold-outreach:lead-machine</t>
        </is>
      </c>
      <c r="M44" s="13">
        <f>IF(Leads!H44="","","cold-outreach,lead-machine,status:drafted,industry:"&amp;LOWER(SUBSTITUTE(SUBSTITUTE(SUBSTITUTE(TRIM(Leads!Q44)," ","-"),"/","-"),"&amp;","and"))&amp;",city:"&amp;LOWER(SUBSTITUTE(TRIM(Leads!S44)," ","-"))&amp;",entry:"&amp;LOWER(SUBSTITUTE(TRIM(Leads!W44)," ","-"))&amp;",attitude:"&amp;LOWER(SUBSTITUTE(SUBSTITUTE(TRIM(Leads!V44)," ","-"),"/","-")))</f>
        <v/>
      </c>
      <c r="N44" s="13">
        <f>IF(Leads!A44="","",Leads!A44)</f>
        <v/>
      </c>
      <c r="O44" s="13">
        <f>IF(Leads!F44="","",Leads!F44)</f>
        <v/>
      </c>
      <c r="P44" s="13">
        <f>IF(Leads!V44="","",Leads!V44)</f>
        <v/>
      </c>
      <c r="Q44" s="13">
        <f>IF(Leads!W44="","",Leads!W44)</f>
        <v/>
      </c>
      <c r="R44" s="13">
        <f>IF(Leads!AO44="","",Leads!AO44)</f>
        <v/>
      </c>
      <c r="S44" s="13">
        <f>IF(Leads!U44="","",Leads!U44)</f>
        <v/>
      </c>
      <c r="T44" s="13">
        <f>IF(Leads!Z44="","",Leads!Z44)</f>
        <v/>
      </c>
      <c r="U44" s="13">
        <f>IF(Leads!AA44="","",Leads!AA44)</f>
        <v/>
      </c>
      <c r="V44" s="13">
        <f>IF(Leads!K44="","",Leads!K44)</f>
        <v/>
      </c>
    </row>
    <row r="45">
      <c r="A45" s="13">
        <f>IF(Leads!D45="","",Leads!D45)</f>
        <v/>
      </c>
      <c r="B45" s="13">
        <f>IF(Leads!I45="","",Leads!I45)</f>
        <v/>
      </c>
      <c r="C45" s="13">
        <f>IF(Leads!J45="","",Leads!J45)</f>
        <v/>
      </c>
      <c r="D45" s="13">
        <f>IF(OR(Leads!L45="",Leads!L45="Not found"),IF(OR(Leads!AR45="",Leads!AR45="Not found"),"",Leads!AR45),Leads!L45)</f>
        <v/>
      </c>
      <c r="E45" s="13">
        <f>IF(OR(Leads!O45="",Leads!O45="Not found"),Leads!P45,Leads!O45)</f>
        <v/>
      </c>
      <c r="F45" s="13">
        <f>IF(Leads!H45="","",Leads!H45)</f>
        <v/>
      </c>
      <c r="G45" s="13">
        <f>IF(Leads!AQ45="","",Leads!AQ45)</f>
        <v/>
      </c>
      <c r="H45" s="13">
        <f>IF(Leads!AS45="","",Leads!AS45)</f>
        <v/>
      </c>
      <c r="I45" s="13">
        <f>IF(Leads!S45="","",Leads!S45)</f>
        <v/>
      </c>
      <c r="J45" s="13">
        <f>IF(Leads!T45="","",Leads!T45)</f>
        <v/>
      </c>
      <c r="K45" s="13">
        <f>IF(Leads!AT45="","",Leads!AT45)</f>
        <v/>
      </c>
      <c r="L45" s="13" t="inlineStr">
        <is>
          <t>cold-outreach:lead-machine</t>
        </is>
      </c>
      <c r="M45" s="13">
        <f>IF(Leads!H45="","","cold-outreach,lead-machine,status:drafted,industry:"&amp;LOWER(SUBSTITUTE(SUBSTITUTE(SUBSTITUTE(TRIM(Leads!Q45)," ","-"),"/","-"),"&amp;","and"))&amp;",city:"&amp;LOWER(SUBSTITUTE(TRIM(Leads!S45)," ","-"))&amp;",entry:"&amp;LOWER(SUBSTITUTE(TRIM(Leads!W45)," ","-"))&amp;",attitude:"&amp;LOWER(SUBSTITUTE(SUBSTITUTE(TRIM(Leads!V45)," ","-"),"/","-")))</f>
        <v/>
      </c>
      <c r="N45" s="13">
        <f>IF(Leads!A45="","",Leads!A45)</f>
        <v/>
      </c>
      <c r="O45" s="13">
        <f>IF(Leads!F45="","",Leads!F45)</f>
        <v/>
      </c>
      <c r="P45" s="13">
        <f>IF(Leads!V45="","",Leads!V45)</f>
        <v/>
      </c>
      <c r="Q45" s="13">
        <f>IF(Leads!W45="","",Leads!W45)</f>
        <v/>
      </c>
      <c r="R45" s="13">
        <f>IF(Leads!AO45="","",Leads!AO45)</f>
        <v/>
      </c>
      <c r="S45" s="13">
        <f>IF(Leads!U45="","",Leads!U45)</f>
        <v/>
      </c>
      <c r="T45" s="13">
        <f>IF(Leads!Z45="","",Leads!Z45)</f>
        <v/>
      </c>
      <c r="U45" s="13">
        <f>IF(Leads!AA45="","",Leads!AA45)</f>
        <v/>
      </c>
      <c r="V45" s="13">
        <f>IF(Leads!K45="","",Leads!K45)</f>
        <v/>
      </c>
    </row>
    <row r="46">
      <c r="A46" s="13">
        <f>IF(Leads!D46="","",Leads!D46)</f>
        <v/>
      </c>
      <c r="B46" s="13">
        <f>IF(Leads!I46="","",Leads!I46)</f>
        <v/>
      </c>
      <c r="C46" s="13">
        <f>IF(Leads!J46="","",Leads!J46)</f>
        <v/>
      </c>
      <c r="D46" s="13">
        <f>IF(OR(Leads!L46="",Leads!L46="Not found"),IF(OR(Leads!AR46="",Leads!AR46="Not found"),"",Leads!AR46),Leads!L46)</f>
        <v/>
      </c>
      <c r="E46" s="13">
        <f>IF(OR(Leads!O46="",Leads!O46="Not found"),Leads!P46,Leads!O46)</f>
        <v/>
      </c>
      <c r="F46" s="13">
        <f>IF(Leads!H46="","",Leads!H46)</f>
        <v/>
      </c>
      <c r="G46" s="13">
        <f>IF(Leads!AQ46="","",Leads!AQ46)</f>
        <v/>
      </c>
      <c r="H46" s="13">
        <f>IF(Leads!AS46="","",Leads!AS46)</f>
        <v/>
      </c>
      <c r="I46" s="13">
        <f>IF(Leads!S46="","",Leads!S46)</f>
        <v/>
      </c>
      <c r="J46" s="13">
        <f>IF(Leads!T46="","",Leads!T46)</f>
        <v/>
      </c>
      <c r="K46" s="13">
        <f>IF(Leads!AT46="","",Leads!AT46)</f>
        <v/>
      </c>
      <c r="L46" s="13" t="inlineStr">
        <is>
          <t>cold-outreach:lead-machine</t>
        </is>
      </c>
      <c r="M46" s="13">
        <f>IF(Leads!H46="","","cold-outreach,lead-machine,status:drafted,industry:"&amp;LOWER(SUBSTITUTE(SUBSTITUTE(SUBSTITUTE(TRIM(Leads!Q46)," ","-"),"/","-"),"&amp;","and"))&amp;",city:"&amp;LOWER(SUBSTITUTE(TRIM(Leads!S46)," ","-"))&amp;",entry:"&amp;LOWER(SUBSTITUTE(TRIM(Leads!W46)," ","-"))&amp;",attitude:"&amp;LOWER(SUBSTITUTE(SUBSTITUTE(TRIM(Leads!V46)," ","-"),"/","-")))</f>
        <v/>
      </c>
      <c r="N46" s="13">
        <f>IF(Leads!A46="","",Leads!A46)</f>
        <v/>
      </c>
      <c r="O46" s="13">
        <f>IF(Leads!F46="","",Leads!F46)</f>
        <v/>
      </c>
      <c r="P46" s="13">
        <f>IF(Leads!V46="","",Leads!V46)</f>
        <v/>
      </c>
      <c r="Q46" s="13">
        <f>IF(Leads!W46="","",Leads!W46)</f>
        <v/>
      </c>
      <c r="R46" s="13">
        <f>IF(Leads!AO46="","",Leads!AO46)</f>
        <v/>
      </c>
      <c r="S46" s="13">
        <f>IF(Leads!U46="","",Leads!U46)</f>
        <v/>
      </c>
      <c r="T46" s="13">
        <f>IF(Leads!Z46="","",Leads!Z46)</f>
        <v/>
      </c>
      <c r="U46" s="13">
        <f>IF(Leads!AA46="","",Leads!AA46)</f>
        <v/>
      </c>
      <c r="V46" s="13">
        <f>IF(Leads!K46="","",Leads!K46)</f>
        <v/>
      </c>
    </row>
    <row r="47">
      <c r="A47" s="13">
        <f>IF(Leads!D47="","",Leads!D47)</f>
        <v/>
      </c>
      <c r="B47" s="13">
        <f>IF(Leads!I47="","",Leads!I47)</f>
        <v/>
      </c>
      <c r="C47" s="13">
        <f>IF(Leads!J47="","",Leads!J47)</f>
        <v/>
      </c>
      <c r="D47" s="13">
        <f>IF(OR(Leads!L47="",Leads!L47="Not found"),IF(OR(Leads!AR47="",Leads!AR47="Not found"),"",Leads!AR47),Leads!L47)</f>
        <v/>
      </c>
      <c r="E47" s="13">
        <f>IF(OR(Leads!O47="",Leads!O47="Not found"),Leads!P47,Leads!O47)</f>
        <v/>
      </c>
      <c r="F47" s="13">
        <f>IF(Leads!H47="","",Leads!H47)</f>
        <v/>
      </c>
      <c r="G47" s="13">
        <f>IF(Leads!AQ47="","",Leads!AQ47)</f>
        <v/>
      </c>
      <c r="H47" s="13">
        <f>IF(Leads!AS47="","",Leads!AS47)</f>
        <v/>
      </c>
      <c r="I47" s="13">
        <f>IF(Leads!S47="","",Leads!S47)</f>
        <v/>
      </c>
      <c r="J47" s="13">
        <f>IF(Leads!T47="","",Leads!T47)</f>
        <v/>
      </c>
      <c r="K47" s="13">
        <f>IF(Leads!AT47="","",Leads!AT47)</f>
        <v/>
      </c>
      <c r="L47" s="13" t="inlineStr">
        <is>
          <t>cold-outreach:lead-machine</t>
        </is>
      </c>
      <c r="M47" s="13">
        <f>IF(Leads!H47="","","cold-outreach,lead-machine,status:drafted,industry:"&amp;LOWER(SUBSTITUTE(SUBSTITUTE(SUBSTITUTE(TRIM(Leads!Q47)," ","-"),"/","-"),"&amp;","and"))&amp;",city:"&amp;LOWER(SUBSTITUTE(TRIM(Leads!S47)," ","-"))&amp;",entry:"&amp;LOWER(SUBSTITUTE(TRIM(Leads!W47)," ","-"))&amp;",attitude:"&amp;LOWER(SUBSTITUTE(SUBSTITUTE(TRIM(Leads!V47)," ","-"),"/","-")))</f>
        <v/>
      </c>
      <c r="N47" s="13">
        <f>IF(Leads!A47="","",Leads!A47)</f>
        <v/>
      </c>
      <c r="O47" s="13">
        <f>IF(Leads!F47="","",Leads!F47)</f>
        <v/>
      </c>
      <c r="P47" s="13">
        <f>IF(Leads!V47="","",Leads!V47)</f>
        <v/>
      </c>
      <c r="Q47" s="13">
        <f>IF(Leads!W47="","",Leads!W47)</f>
        <v/>
      </c>
      <c r="R47" s="13">
        <f>IF(Leads!AO47="","",Leads!AO47)</f>
        <v/>
      </c>
      <c r="S47" s="13">
        <f>IF(Leads!U47="","",Leads!U47)</f>
        <v/>
      </c>
      <c r="T47" s="13">
        <f>IF(Leads!Z47="","",Leads!Z47)</f>
        <v/>
      </c>
      <c r="U47" s="13">
        <f>IF(Leads!AA47="","",Leads!AA47)</f>
        <v/>
      </c>
      <c r="V47" s="13">
        <f>IF(Leads!K47="","",Leads!K47)</f>
        <v/>
      </c>
    </row>
    <row r="48">
      <c r="A48" s="13">
        <f>IF(Leads!D48="","",Leads!D48)</f>
        <v/>
      </c>
      <c r="B48" s="13">
        <f>IF(Leads!I48="","",Leads!I48)</f>
        <v/>
      </c>
      <c r="C48" s="13">
        <f>IF(Leads!J48="","",Leads!J48)</f>
        <v/>
      </c>
      <c r="D48" s="13">
        <f>IF(OR(Leads!L48="",Leads!L48="Not found"),IF(OR(Leads!AR48="",Leads!AR48="Not found"),"",Leads!AR48),Leads!L48)</f>
        <v/>
      </c>
      <c r="E48" s="13">
        <f>IF(OR(Leads!O48="",Leads!O48="Not found"),Leads!P48,Leads!O48)</f>
        <v/>
      </c>
      <c r="F48" s="13">
        <f>IF(Leads!H48="","",Leads!H48)</f>
        <v/>
      </c>
      <c r="G48" s="13">
        <f>IF(Leads!AQ48="","",Leads!AQ48)</f>
        <v/>
      </c>
      <c r="H48" s="13">
        <f>IF(Leads!AS48="","",Leads!AS48)</f>
        <v/>
      </c>
      <c r="I48" s="13">
        <f>IF(Leads!S48="","",Leads!S48)</f>
        <v/>
      </c>
      <c r="J48" s="13">
        <f>IF(Leads!T48="","",Leads!T48)</f>
        <v/>
      </c>
      <c r="K48" s="13">
        <f>IF(Leads!AT48="","",Leads!AT48)</f>
        <v/>
      </c>
      <c r="L48" s="13" t="inlineStr">
        <is>
          <t>cold-outreach:lead-machine</t>
        </is>
      </c>
      <c r="M48" s="13">
        <f>IF(Leads!H48="","","cold-outreach,lead-machine,status:drafted,industry:"&amp;LOWER(SUBSTITUTE(SUBSTITUTE(SUBSTITUTE(TRIM(Leads!Q48)," ","-"),"/","-"),"&amp;","and"))&amp;",city:"&amp;LOWER(SUBSTITUTE(TRIM(Leads!S48)," ","-"))&amp;",entry:"&amp;LOWER(SUBSTITUTE(TRIM(Leads!W48)," ","-"))&amp;",attitude:"&amp;LOWER(SUBSTITUTE(SUBSTITUTE(TRIM(Leads!V48)," ","-"),"/","-")))</f>
        <v/>
      </c>
      <c r="N48" s="13">
        <f>IF(Leads!A48="","",Leads!A48)</f>
        <v/>
      </c>
      <c r="O48" s="13">
        <f>IF(Leads!F48="","",Leads!F48)</f>
        <v/>
      </c>
      <c r="P48" s="13">
        <f>IF(Leads!V48="","",Leads!V48)</f>
        <v/>
      </c>
      <c r="Q48" s="13">
        <f>IF(Leads!W48="","",Leads!W48)</f>
        <v/>
      </c>
      <c r="R48" s="13">
        <f>IF(Leads!AO48="","",Leads!AO48)</f>
        <v/>
      </c>
      <c r="S48" s="13">
        <f>IF(Leads!U48="","",Leads!U48)</f>
        <v/>
      </c>
      <c r="T48" s="13">
        <f>IF(Leads!Z48="","",Leads!Z48)</f>
        <v/>
      </c>
      <c r="U48" s="13">
        <f>IF(Leads!AA48="","",Leads!AA48)</f>
        <v/>
      </c>
      <c r="V48" s="13">
        <f>IF(Leads!K48="","",Leads!K48)</f>
        <v/>
      </c>
    </row>
    <row r="49">
      <c r="A49" s="13">
        <f>IF(Leads!D49="","",Leads!D49)</f>
        <v/>
      </c>
      <c r="B49" s="13">
        <f>IF(Leads!I49="","",Leads!I49)</f>
        <v/>
      </c>
      <c r="C49" s="13">
        <f>IF(Leads!J49="","",Leads!J49)</f>
        <v/>
      </c>
      <c r="D49" s="13">
        <f>IF(OR(Leads!L49="",Leads!L49="Not found"),IF(OR(Leads!AR49="",Leads!AR49="Not found"),"",Leads!AR49),Leads!L49)</f>
        <v/>
      </c>
      <c r="E49" s="13">
        <f>IF(OR(Leads!O49="",Leads!O49="Not found"),Leads!P49,Leads!O49)</f>
        <v/>
      </c>
      <c r="F49" s="13">
        <f>IF(Leads!H49="","",Leads!H49)</f>
        <v/>
      </c>
      <c r="G49" s="13">
        <f>IF(Leads!AQ49="","",Leads!AQ49)</f>
        <v/>
      </c>
      <c r="H49" s="13">
        <f>IF(Leads!AS49="","",Leads!AS49)</f>
        <v/>
      </c>
      <c r="I49" s="13">
        <f>IF(Leads!S49="","",Leads!S49)</f>
        <v/>
      </c>
      <c r="J49" s="13">
        <f>IF(Leads!T49="","",Leads!T49)</f>
        <v/>
      </c>
      <c r="K49" s="13">
        <f>IF(Leads!AT49="","",Leads!AT49)</f>
        <v/>
      </c>
      <c r="L49" s="13" t="inlineStr">
        <is>
          <t>cold-outreach:lead-machine</t>
        </is>
      </c>
      <c r="M49" s="13">
        <f>IF(Leads!H49="","","cold-outreach,lead-machine,status:drafted,industry:"&amp;LOWER(SUBSTITUTE(SUBSTITUTE(SUBSTITUTE(TRIM(Leads!Q49)," ","-"),"/","-"),"&amp;","and"))&amp;",city:"&amp;LOWER(SUBSTITUTE(TRIM(Leads!S49)," ","-"))&amp;",entry:"&amp;LOWER(SUBSTITUTE(TRIM(Leads!W49)," ","-"))&amp;",attitude:"&amp;LOWER(SUBSTITUTE(SUBSTITUTE(TRIM(Leads!V49)," ","-"),"/","-")))</f>
        <v/>
      </c>
      <c r="N49" s="13">
        <f>IF(Leads!A49="","",Leads!A49)</f>
        <v/>
      </c>
      <c r="O49" s="13">
        <f>IF(Leads!F49="","",Leads!F49)</f>
        <v/>
      </c>
      <c r="P49" s="13">
        <f>IF(Leads!V49="","",Leads!V49)</f>
        <v/>
      </c>
      <c r="Q49" s="13">
        <f>IF(Leads!W49="","",Leads!W49)</f>
        <v/>
      </c>
      <c r="R49" s="13">
        <f>IF(Leads!AO49="","",Leads!AO49)</f>
        <v/>
      </c>
      <c r="S49" s="13">
        <f>IF(Leads!U49="","",Leads!U49)</f>
        <v/>
      </c>
      <c r="T49" s="13">
        <f>IF(Leads!Z49="","",Leads!Z49)</f>
        <v/>
      </c>
      <c r="U49" s="13">
        <f>IF(Leads!AA49="","",Leads!AA49)</f>
        <v/>
      </c>
      <c r="V49" s="13">
        <f>IF(Leads!K49="","",Leads!K49)</f>
        <v/>
      </c>
    </row>
    <row r="50">
      <c r="A50" s="13">
        <f>IF(Leads!D50="","",Leads!D50)</f>
        <v/>
      </c>
      <c r="B50" s="13">
        <f>IF(Leads!I50="","",Leads!I50)</f>
        <v/>
      </c>
      <c r="C50" s="13">
        <f>IF(Leads!J50="","",Leads!J50)</f>
        <v/>
      </c>
      <c r="D50" s="13">
        <f>IF(OR(Leads!L50="",Leads!L50="Not found"),IF(OR(Leads!AR50="",Leads!AR50="Not found"),"",Leads!AR50),Leads!L50)</f>
        <v/>
      </c>
      <c r="E50" s="13">
        <f>IF(OR(Leads!O50="",Leads!O50="Not found"),Leads!P50,Leads!O50)</f>
        <v/>
      </c>
      <c r="F50" s="13">
        <f>IF(Leads!H50="","",Leads!H50)</f>
        <v/>
      </c>
      <c r="G50" s="13">
        <f>IF(Leads!AQ50="","",Leads!AQ50)</f>
        <v/>
      </c>
      <c r="H50" s="13">
        <f>IF(Leads!AS50="","",Leads!AS50)</f>
        <v/>
      </c>
      <c r="I50" s="13">
        <f>IF(Leads!S50="","",Leads!S50)</f>
        <v/>
      </c>
      <c r="J50" s="13">
        <f>IF(Leads!T50="","",Leads!T50)</f>
        <v/>
      </c>
      <c r="K50" s="13">
        <f>IF(Leads!AT50="","",Leads!AT50)</f>
        <v/>
      </c>
      <c r="L50" s="13" t="inlineStr">
        <is>
          <t>cold-outreach:lead-machine</t>
        </is>
      </c>
      <c r="M50" s="13">
        <f>IF(Leads!H50="","","cold-outreach,lead-machine,status:drafted,industry:"&amp;LOWER(SUBSTITUTE(SUBSTITUTE(SUBSTITUTE(TRIM(Leads!Q50)," ","-"),"/","-"),"&amp;","and"))&amp;",city:"&amp;LOWER(SUBSTITUTE(TRIM(Leads!S50)," ","-"))&amp;",entry:"&amp;LOWER(SUBSTITUTE(TRIM(Leads!W50)," ","-"))&amp;",attitude:"&amp;LOWER(SUBSTITUTE(SUBSTITUTE(TRIM(Leads!V50)," ","-"),"/","-")))</f>
        <v/>
      </c>
      <c r="N50" s="13">
        <f>IF(Leads!A50="","",Leads!A50)</f>
        <v/>
      </c>
      <c r="O50" s="13">
        <f>IF(Leads!F50="","",Leads!F50)</f>
        <v/>
      </c>
      <c r="P50" s="13">
        <f>IF(Leads!V50="","",Leads!V50)</f>
        <v/>
      </c>
      <c r="Q50" s="13">
        <f>IF(Leads!W50="","",Leads!W50)</f>
        <v/>
      </c>
      <c r="R50" s="13">
        <f>IF(Leads!AO50="","",Leads!AO50)</f>
        <v/>
      </c>
      <c r="S50" s="13">
        <f>IF(Leads!U50="","",Leads!U50)</f>
        <v/>
      </c>
      <c r="T50" s="13">
        <f>IF(Leads!Z50="","",Leads!Z50)</f>
        <v/>
      </c>
      <c r="U50" s="13">
        <f>IF(Leads!AA50="","",Leads!AA50)</f>
        <v/>
      </c>
      <c r="V50" s="13">
        <f>IF(Leads!K50="","",Leads!K50)</f>
        <v/>
      </c>
    </row>
    <row r="51">
      <c r="A51" s="13">
        <f>IF(Leads!D51="","",Leads!D51)</f>
        <v/>
      </c>
      <c r="B51" s="13">
        <f>IF(Leads!I51="","",Leads!I51)</f>
        <v/>
      </c>
      <c r="C51" s="13">
        <f>IF(Leads!J51="","",Leads!J51)</f>
        <v/>
      </c>
      <c r="D51" s="13">
        <f>IF(OR(Leads!L51="",Leads!L51="Not found"),IF(OR(Leads!AR51="",Leads!AR51="Not found"),"",Leads!AR51),Leads!L51)</f>
        <v/>
      </c>
      <c r="E51" s="13">
        <f>IF(OR(Leads!O51="",Leads!O51="Not found"),Leads!P51,Leads!O51)</f>
        <v/>
      </c>
      <c r="F51" s="13">
        <f>IF(Leads!H51="","",Leads!H51)</f>
        <v/>
      </c>
      <c r="G51" s="13">
        <f>IF(Leads!AQ51="","",Leads!AQ51)</f>
        <v/>
      </c>
      <c r="H51" s="13">
        <f>IF(Leads!AS51="","",Leads!AS51)</f>
        <v/>
      </c>
      <c r="I51" s="13">
        <f>IF(Leads!S51="","",Leads!S51)</f>
        <v/>
      </c>
      <c r="J51" s="13">
        <f>IF(Leads!T51="","",Leads!T51)</f>
        <v/>
      </c>
      <c r="K51" s="13">
        <f>IF(Leads!AT51="","",Leads!AT51)</f>
        <v/>
      </c>
      <c r="L51" s="13" t="inlineStr">
        <is>
          <t>cold-outreach:lead-machine</t>
        </is>
      </c>
      <c r="M51" s="13">
        <f>IF(Leads!H51="","","cold-outreach,lead-machine,status:drafted,industry:"&amp;LOWER(SUBSTITUTE(SUBSTITUTE(SUBSTITUTE(TRIM(Leads!Q51)," ","-"),"/","-"),"&amp;","and"))&amp;",city:"&amp;LOWER(SUBSTITUTE(TRIM(Leads!S51)," ","-"))&amp;",entry:"&amp;LOWER(SUBSTITUTE(TRIM(Leads!W51)," ","-"))&amp;",attitude:"&amp;LOWER(SUBSTITUTE(SUBSTITUTE(TRIM(Leads!V51)," ","-"),"/","-")))</f>
        <v/>
      </c>
      <c r="N51" s="13">
        <f>IF(Leads!A51="","",Leads!A51)</f>
        <v/>
      </c>
      <c r="O51" s="13">
        <f>IF(Leads!F51="","",Leads!F51)</f>
        <v/>
      </c>
      <c r="P51" s="13">
        <f>IF(Leads!V51="","",Leads!V51)</f>
        <v/>
      </c>
      <c r="Q51" s="13">
        <f>IF(Leads!W51="","",Leads!W51)</f>
        <v/>
      </c>
      <c r="R51" s="13">
        <f>IF(Leads!AO51="","",Leads!AO51)</f>
        <v/>
      </c>
      <c r="S51" s="13">
        <f>IF(Leads!U51="","",Leads!U51)</f>
        <v/>
      </c>
      <c r="T51" s="13">
        <f>IF(Leads!Z51="","",Leads!Z51)</f>
        <v/>
      </c>
      <c r="U51" s="13">
        <f>IF(Leads!AA51="","",Leads!AA51)</f>
        <v/>
      </c>
      <c r="V51" s="13">
        <f>IF(Leads!K51="","",Leads!K51)</f>
        <v/>
      </c>
    </row>
    <row r="52">
      <c r="A52" s="13">
        <f>IF(Leads!D52="","",Leads!D52)</f>
        <v/>
      </c>
      <c r="B52" s="13">
        <f>IF(Leads!I52="","",Leads!I52)</f>
        <v/>
      </c>
      <c r="C52" s="13">
        <f>IF(Leads!J52="","",Leads!J52)</f>
        <v/>
      </c>
      <c r="D52" s="13">
        <f>IF(OR(Leads!L52="",Leads!L52="Not found"),IF(OR(Leads!AR52="",Leads!AR52="Not found"),"",Leads!AR52),Leads!L52)</f>
        <v/>
      </c>
      <c r="E52" s="13">
        <f>IF(OR(Leads!O52="",Leads!O52="Not found"),Leads!P52,Leads!O52)</f>
        <v/>
      </c>
      <c r="F52" s="13">
        <f>IF(Leads!H52="","",Leads!H52)</f>
        <v/>
      </c>
      <c r="G52" s="13">
        <f>IF(Leads!AQ52="","",Leads!AQ52)</f>
        <v/>
      </c>
      <c r="H52" s="13">
        <f>IF(Leads!AS52="","",Leads!AS52)</f>
        <v/>
      </c>
      <c r="I52" s="13">
        <f>IF(Leads!S52="","",Leads!S52)</f>
        <v/>
      </c>
      <c r="J52" s="13">
        <f>IF(Leads!T52="","",Leads!T52)</f>
        <v/>
      </c>
      <c r="K52" s="13">
        <f>IF(Leads!AT52="","",Leads!AT52)</f>
        <v/>
      </c>
      <c r="L52" s="13" t="inlineStr">
        <is>
          <t>cold-outreach:lead-machine</t>
        </is>
      </c>
      <c r="M52" s="13">
        <f>IF(Leads!H52="","","cold-outreach,lead-machine,status:drafted,industry:"&amp;LOWER(SUBSTITUTE(SUBSTITUTE(SUBSTITUTE(TRIM(Leads!Q52)," ","-"),"/","-"),"&amp;","and"))&amp;",city:"&amp;LOWER(SUBSTITUTE(TRIM(Leads!S52)," ","-"))&amp;",entry:"&amp;LOWER(SUBSTITUTE(TRIM(Leads!W52)," ","-"))&amp;",attitude:"&amp;LOWER(SUBSTITUTE(SUBSTITUTE(TRIM(Leads!V52)," ","-"),"/","-")))</f>
        <v/>
      </c>
      <c r="N52" s="13">
        <f>IF(Leads!A52="","",Leads!A52)</f>
        <v/>
      </c>
      <c r="O52" s="13">
        <f>IF(Leads!F52="","",Leads!F52)</f>
        <v/>
      </c>
      <c r="P52" s="13">
        <f>IF(Leads!V52="","",Leads!V52)</f>
        <v/>
      </c>
      <c r="Q52" s="13">
        <f>IF(Leads!W52="","",Leads!W52)</f>
        <v/>
      </c>
      <c r="R52" s="13">
        <f>IF(Leads!AO52="","",Leads!AO52)</f>
        <v/>
      </c>
      <c r="S52" s="13">
        <f>IF(Leads!U52="","",Leads!U52)</f>
        <v/>
      </c>
      <c r="T52" s="13">
        <f>IF(Leads!Z52="","",Leads!Z52)</f>
        <v/>
      </c>
      <c r="U52" s="13">
        <f>IF(Leads!AA52="","",Leads!AA52)</f>
        <v/>
      </c>
      <c r="V52" s="13">
        <f>IF(Leads!K52="","",Leads!K52)</f>
        <v/>
      </c>
    </row>
    <row r="53">
      <c r="A53" s="13">
        <f>IF(Leads!D53="","",Leads!D53)</f>
        <v/>
      </c>
      <c r="B53" s="13">
        <f>IF(Leads!I53="","",Leads!I53)</f>
        <v/>
      </c>
      <c r="C53" s="13">
        <f>IF(Leads!J53="","",Leads!J53)</f>
        <v/>
      </c>
      <c r="D53" s="13">
        <f>IF(OR(Leads!L53="",Leads!L53="Not found"),IF(OR(Leads!AR53="",Leads!AR53="Not found"),"",Leads!AR53),Leads!L53)</f>
        <v/>
      </c>
      <c r="E53" s="13">
        <f>IF(OR(Leads!O53="",Leads!O53="Not found"),Leads!P53,Leads!O53)</f>
        <v/>
      </c>
      <c r="F53" s="13">
        <f>IF(Leads!H53="","",Leads!H53)</f>
        <v/>
      </c>
      <c r="G53" s="13">
        <f>IF(Leads!AQ53="","",Leads!AQ53)</f>
        <v/>
      </c>
      <c r="H53" s="13">
        <f>IF(Leads!AS53="","",Leads!AS53)</f>
        <v/>
      </c>
      <c r="I53" s="13">
        <f>IF(Leads!S53="","",Leads!S53)</f>
        <v/>
      </c>
      <c r="J53" s="13">
        <f>IF(Leads!T53="","",Leads!T53)</f>
        <v/>
      </c>
      <c r="K53" s="13">
        <f>IF(Leads!AT53="","",Leads!AT53)</f>
        <v/>
      </c>
      <c r="L53" s="13" t="inlineStr">
        <is>
          <t>cold-outreach:lead-machine</t>
        </is>
      </c>
      <c r="M53" s="13">
        <f>IF(Leads!H53="","","cold-outreach,lead-machine,status:drafted,industry:"&amp;LOWER(SUBSTITUTE(SUBSTITUTE(SUBSTITUTE(TRIM(Leads!Q53)," ","-"),"/","-"),"&amp;","and"))&amp;",city:"&amp;LOWER(SUBSTITUTE(TRIM(Leads!S53)," ","-"))&amp;",entry:"&amp;LOWER(SUBSTITUTE(TRIM(Leads!W53)," ","-"))&amp;",attitude:"&amp;LOWER(SUBSTITUTE(SUBSTITUTE(TRIM(Leads!V53)," ","-"),"/","-")))</f>
        <v/>
      </c>
      <c r="N53" s="13">
        <f>IF(Leads!A53="","",Leads!A53)</f>
        <v/>
      </c>
      <c r="O53" s="13">
        <f>IF(Leads!F53="","",Leads!F53)</f>
        <v/>
      </c>
      <c r="P53" s="13">
        <f>IF(Leads!V53="","",Leads!V53)</f>
        <v/>
      </c>
      <c r="Q53" s="13">
        <f>IF(Leads!W53="","",Leads!W53)</f>
        <v/>
      </c>
      <c r="R53" s="13">
        <f>IF(Leads!AO53="","",Leads!AO53)</f>
        <v/>
      </c>
      <c r="S53" s="13">
        <f>IF(Leads!U53="","",Leads!U53)</f>
        <v/>
      </c>
      <c r="T53" s="13">
        <f>IF(Leads!Z53="","",Leads!Z53)</f>
        <v/>
      </c>
      <c r="U53" s="13">
        <f>IF(Leads!AA53="","",Leads!AA53)</f>
        <v/>
      </c>
      <c r="V53" s="13">
        <f>IF(Leads!K53="","",Leads!K53)</f>
        <v/>
      </c>
    </row>
    <row r="54">
      <c r="A54" s="13">
        <f>IF(Leads!D54="","",Leads!D54)</f>
        <v/>
      </c>
      <c r="B54" s="13">
        <f>IF(Leads!I54="","",Leads!I54)</f>
        <v/>
      </c>
      <c r="C54" s="13">
        <f>IF(Leads!J54="","",Leads!J54)</f>
        <v/>
      </c>
      <c r="D54" s="13">
        <f>IF(OR(Leads!L54="",Leads!L54="Not found"),IF(OR(Leads!AR54="",Leads!AR54="Not found"),"",Leads!AR54),Leads!L54)</f>
        <v/>
      </c>
      <c r="E54" s="13">
        <f>IF(OR(Leads!O54="",Leads!O54="Not found"),Leads!P54,Leads!O54)</f>
        <v/>
      </c>
      <c r="F54" s="13">
        <f>IF(Leads!H54="","",Leads!H54)</f>
        <v/>
      </c>
      <c r="G54" s="13">
        <f>IF(Leads!AQ54="","",Leads!AQ54)</f>
        <v/>
      </c>
      <c r="H54" s="13">
        <f>IF(Leads!AS54="","",Leads!AS54)</f>
        <v/>
      </c>
      <c r="I54" s="13">
        <f>IF(Leads!S54="","",Leads!S54)</f>
        <v/>
      </c>
      <c r="J54" s="13">
        <f>IF(Leads!T54="","",Leads!T54)</f>
        <v/>
      </c>
      <c r="K54" s="13">
        <f>IF(Leads!AT54="","",Leads!AT54)</f>
        <v/>
      </c>
      <c r="L54" s="13" t="inlineStr">
        <is>
          <t>cold-outreach:lead-machine</t>
        </is>
      </c>
      <c r="M54" s="13">
        <f>IF(Leads!H54="","","cold-outreach,lead-machine,status:drafted,industry:"&amp;LOWER(SUBSTITUTE(SUBSTITUTE(SUBSTITUTE(TRIM(Leads!Q54)," ","-"),"/","-"),"&amp;","and"))&amp;",city:"&amp;LOWER(SUBSTITUTE(TRIM(Leads!S54)," ","-"))&amp;",entry:"&amp;LOWER(SUBSTITUTE(TRIM(Leads!W54)," ","-"))&amp;",attitude:"&amp;LOWER(SUBSTITUTE(SUBSTITUTE(TRIM(Leads!V54)," ","-"),"/","-")))</f>
        <v/>
      </c>
      <c r="N54" s="13">
        <f>IF(Leads!A54="","",Leads!A54)</f>
        <v/>
      </c>
      <c r="O54" s="13">
        <f>IF(Leads!F54="","",Leads!F54)</f>
        <v/>
      </c>
      <c r="P54" s="13">
        <f>IF(Leads!V54="","",Leads!V54)</f>
        <v/>
      </c>
      <c r="Q54" s="13">
        <f>IF(Leads!W54="","",Leads!W54)</f>
        <v/>
      </c>
      <c r="R54" s="13">
        <f>IF(Leads!AO54="","",Leads!AO54)</f>
        <v/>
      </c>
      <c r="S54" s="13">
        <f>IF(Leads!U54="","",Leads!U54)</f>
        <v/>
      </c>
      <c r="T54" s="13">
        <f>IF(Leads!Z54="","",Leads!Z54)</f>
        <v/>
      </c>
      <c r="U54" s="13">
        <f>IF(Leads!AA54="","",Leads!AA54)</f>
        <v/>
      </c>
      <c r="V54" s="13">
        <f>IF(Leads!K54="","",Leads!K54)</f>
        <v/>
      </c>
    </row>
    <row r="55">
      <c r="A55" s="13">
        <f>IF(Leads!D55="","",Leads!D55)</f>
        <v/>
      </c>
      <c r="B55" s="13">
        <f>IF(Leads!I55="","",Leads!I55)</f>
        <v/>
      </c>
      <c r="C55" s="13">
        <f>IF(Leads!J55="","",Leads!J55)</f>
        <v/>
      </c>
      <c r="D55" s="13">
        <f>IF(OR(Leads!L55="",Leads!L55="Not found"),IF(OR(Leads!AR55="",Leads!AR55="Not found"),"",Leads!AR55),Leads!L55)</f>
        <v/>
      </c>
      <c r="E55" s="13">
        <f>IF(OR(Leads!O55="",Leads!O55="Not found"),Leads!P55,Leads!O55)</f>
        <v/>
      </c>
      <c r="F55" s="13">
        <f>IF(Leads!H55="","",Leads!H55)</f>
        <v/>
      </c>
      <c r="G55" s="13">
        <f>IF(Leads!AQ55="","",Leads!AQ55)</f>
        <v/>
      </c>
      <c r="H55" s="13">
        <f>IF(Leads!AS55="","",Leads!AS55)</f>
        <v/>
      </c>
      <c r="I55" s="13">
        <f>IF(Leads!S55="","",Leads!S55)</f>
        <v/>
      </c>
      <c r="J55" s="13">
        <f>IF(Leads!T55="","",Leads!T55)</f>
        <v/>
      </c>
      <c r="K55" s="13">
        <f>IF(Leads!AT55="","",Leads!AT55)</f>
        <v/>
      </c>
      <c r="L55" s="13" t="inlineStr">
        <is>
          <t>cold-outreach:lead-machine</t>
        </is>
      </c>
      <c r="M55" s="13">
        <f>IF(Leads!H55="","","cold-outreach,lead-machine,status:drafted,industry:"&amp;LOWER(SUBSTITUTE(SUBSTITUTE(SUBSTITUTE(TRIM(Leads!Q55)," ","-"),"/","-"),"&amp;","and"))&amp;",city:"&amp;LOWER(SUBSTITUTE(TRIM(Leads!S55)," ","-"))&amp;",entry:"&amp;LOWER(SUBSTITUTE(TRIM(Leads!W55)," ","-"))&amp;",attitude:"&amp;LOWER(SUBSTITUTE(SUBSTITUTE(TRIM(Leads!V55)," ","-"),"/","-")))</f>
        <v/>
      </c>
      <c r="N55" s="13">
        <f>IF(Leads!A55="","",Leads!A55)</f>
        <v/>
      </c>
      <c r="O55" s="13">
        <f>IF(Leads!F55="","",Leads!F55)</f>
        <v/>
      </c>
      <c r="P55" s="13">
        <f>IF(Leads!V55="","",Leads!V55)</f>
        <v/>
      </c>
      <c r="Q55" s="13">
        <f>IF(Leads!W55="","",Leads!W55)</f>
        <v/>
      </c>
      <c r="R55" s="13">
        <f>IF(Leads!AO55="","",Leads!AO55)</f>
        <v/>
      </c>
      <c r="S55" s="13">
        <f>IF(Leads!U55="","",Leads!U55)</f>
        <v/>
      </c>
      <c r="T55" s="13">
        <f>IF(Leads!Z55="","",Leads!Z55)</f>
        <v/>
      </c>
      <c r="U55" s="13">
        <f>IF(Leads!AA55="","",Leads!AA55)</f>
        <v/>
      </c>
      <c r="V55" s="13">
        <f>IF(Leads!K55="","",Leads!K55)</f>
        <v/>
      </c>
    </row>
    <row r="56">
      <c r="A56" s="13">
        <f>IF(Leads!D56="","",Leads!D56)</f>
        <v/>
      </c>
      <c r="B56" s="13">
        <f>IF(Leads!I56="","",Leads!I56)</f>
        <v/>
      </c>
      <c r="C56" s="13">
        <f>IF(Leads!J56="","",Leads!J56)</f>
        <v/>
      </c>
      <c r="D56" s="13">
        <f>IF(OR(Leads!L56="",Leads!L56="Not found"),IF(OR(Leads!AR56="",Leads!AR56="Not found"),"",Leads!AR56),Leads!L56)</f>
        <v/>
      </c>
      <c r="E56" s="13">
        <f>IF(OR(Leads!O56="",Leads!O56="Not found"),Leads!P56,Leads!O56)</f>
        <v/>
      </c>
      <c r="F56" s="13">
        <f>IF(Leads!H56="","",Leads!H56)</f>
        <v/>
      </c>
      <c r="G56" s="13">
        <f>IF(Leads!AQ56="","",Leads!AQ56)</f>
        <v/>
      </c>
      <c r="H56" s="13">
        <f>IF(Leads!AS56="","",Leads!AS56)</f>
        <v/>
      </c>
      <c r="I56" s="13">
        <f>IF(Leads!S56="","",Leads!S56)</f>
        <v/>
      </c>
      <c r="J56" s="13">
        <f>IF(Leads!T56="","",Leads!T56)</f>
        <v/>
      </c>
      <c r="K56" s="13">
        <f>IF(Leads!AT56="","",Leads!AT56)</f>
        <v/>
      </c>
      <c r="L56" s="13" t="inlineStr">
        <is>
          <t>cold-outreach:lead-machine</t>
        </is>
      </c>
      <c r="M56" s="13">
        <f>IF(Leads!H56="","","cold-outreach,lead-machine,status:drafted,industry:"&amp;LOWER(SUBSTITUTE(SUBSTITUTE(SUBSTITUTE(TRIM(Leads!Q56)," ","-"),"/","-"),"&amp;","and"))&amp;",city:"&amp;LOWER(SUBSTITUTE(TRIM(Leads!S56)," ","-"))&amp;",entry:"&amp;LOWER(SUBSTITUTE(TRIM(Leads!W56)," ","-"))&amp;",attitude:"&amp;LOWER(SUBSTITUTE(SUBSTITUTE(TRIM(Leads!V56)," ","-"),"/","-")))</f>
        <v/>
      </c>
      <c r="N56" s="13">
        <f>IF(Leads!A56="","",Leads!A56)</f>
        <v/>
      </c>
      <c r="O56" s="13">
        <f>IF(Leads!F56="","",Leads!F56)</f>
        <v/>
      </c>
      <c r="P56" s="13">
        <f>IF(Leads!V56="","",Leads!V56)</f>
        <v/>
      </c>
      <c r="Q56" s="13">
        <f>IF(Leads!W56="","",Leads!W56)</f>
        <v/>
      </c>
      <c r="R56" s="13">
        <f>IF(Leads!AO56="","",Leads!AO56)</f>
        <v/>
      </c>
      <c r="S56" s="13">
        <f>IF(Leads!U56="","",Leads!U56)</f>
        <v/>
      </c>
      <c r="T56" s="13">
        <f>IF(Leads!Z56="","",Leads!Z56)</f>
        <v/>
      </c>
      <c r="U56" s="13">
        <f>IF(Leads!AA56="","",Leads!AA56)</f>
        <v/>
      </c>
      <c r="V56" s="13">
        <f>IF(Leads!K56="","",Leads!K56)</f>
        <v/>
      </c>
    </row>
    <row r="57">
      <c r="A57" s="13">
        <f>IF(Leads!D57="","",Leads!D57)</f>
        <v/>
      </c>
      <c r="B57" s="13">
        <f>IF(Leads!I57="","",Leads!I57)</f>
        <v/>
      </c>
      <c r="C57" s="13">
        <f>IF(Leads!J57="","",Leads!J57)</f>
        <v/>
      </c>
      <c r="D57" s="13">
        <f>IF(OR(Leads!L57="",Leads!L57="Not found"),IF(OR(Leads!AR57="",Leads!AR57="Not found"),"",Leads!AR57),Leads!L57)</f>
        <v/>
      </c>
      <c r="E57" s="13">
        <f>IF(OR(Leads!O57="",Leads!O57="Not found"),Leads!P57,Leads!O57)</f>
        <v/>
      </c>
      <c r="F57" s="13">
        <f>IF(Leads!H57="","",Leads!H57)</f>
        <v/>
      </c>
      <c r="G57" s="13">
        <f>IF(Leads!AQ57="","",Leads!AQ57)</f>
        <v/>
      </c>
      <c r="H57" s="13">
        <f>IF(Leads!AS57="","",Leads!AS57)</f>
        <v/>
      </c>
      <c r="I57" s="13">
        <f>IF(Leads!S57="","",Leads!S57)</f>
        <v/>
      </c>
      <c r="J57" s="13">
        <f>IF(Leads!T57="","",Leads!T57)</f>
        <v/>
      </c>
      <c r="K57" s="13">
        <f>IF(Leads!AT57="","",Leads!AT57)</f>
        <v/>
      </c>
      <c r="L57" s="13" t="inlineStr">
        <is>
          <t>cold-outreach:lead-machine</t>
        </is>
      </c>
      <c r="M57" s="13">
        <f>IF(Leads!H57="","","cold-outreach,lead-machine,status:drafted,industry:"&amp;LOWER(SUBSTITUTE(SUBSTITUTE(SUBSTITUTE(TRIM(Leads!Q57)," ","-"),"/","-"),"&amp;","and"))&amp;",city:"&amp;LOWER(SUBSTITUTE(TRIM(Leads!S57)," ","-"))&amp;",entry:"&amp;LOWER(SUBSTITUTE(TRIM(Leads!W57)," ","-"))&amp;",attitude:"&amp;LOWER(SUBSTITUTE(SUBSTITUTE(TRIM(Leads!V57)," ","-"),"/","-")))</f>
        <v/>
      </c>
      <c r="N57" s="13">
        <f>IF(Leads!A57="","",Leads!A57)</f>
        <v/>
      </c>
      <c r="O57" s="13">
        <f>IF(Leads!F57="","",Leads!F57)</f>
        <v/>
      </c>
      <c r="P57" s="13">
        <f>IF(Leads!V57="","",Leads!V57)</f>
        <v/>
      </c>
      <c r="Q57" s="13">
        <f>IF(Leads!W57="","",Leads!W57)</f>
        <v/>
      </c>
      <c r="R57" s="13">
        <f>IF(Leads!AO57="","",Leads!AO57)</f>
        <v/>
      </c>
      <c r="S57" s="13">
        <f>IF(Leads!U57="","",Leads!U57)</f>
        <v/>
      </c>
      <c r="T57" s="13">
        <f>IF(Leads!Z57="","",Leads!Z57)</f>
        <v/>
      </c>
      <c r="U57" s="13">
        <f>IF(Leads!AA57="","",Leads!AA57)</f>
        <v/>
      </c>
      <c r="V57" s="13">
        <f>IF(Leads!K57="","",Leads!K57)</f>
        <v/>
      </c>
    </row>
    <row r="58">
      <c r="A58" s="13">
        <f>IF(Leads!D58="","",Leads!D58)</f>
        <v/>
      </c>
      <c r="B58" s="13">
        <f>IF(Leads!I58="","",Leads!I58)</f>
        <v/>
      </c>
      <c r="C58" s="13">
        <f>IF(Leads!J58="","",Leads!J58)</f>
        <v/>
      </c>
      <c r="D58" s="13">
        <f>IF(OR(Leads!L58="",Leads!L58="Not found"),IF(OR(Leads!AR58="",Leads!AR58="Not found"),"",Leads!AR58),Leads!L58)</f>
        <v/>
      </c>
      <c r="E58" s="13">
        <f>IF(OR(Leads!O58="",Leads!O58="Not found"),Leads!P58,Leads!O58)</f>
        <v/>
      </c>
      <c r="F58" s="13">
        <f>IF(Leads!H58="","",Leads!H58)</f>
        <v/>
      </c>
      <c r="G58" s="13">
        <f>IF(Leads!AQ58="","",Leads!AQ58)</f>
        <v/>
      </c>
      <c r="H58" s="13">
        <f>IF(Leads!AS58="","",Leads!AS58)</f>
        <v/>
      </c>
      <c r="I58" s="13">
        <f>IF(Leads!S58="","",Leads!S58)</f>
        <v/>
      </c>
      <c r="J58" s="13">
        <f>IF(Leads!T58="","",Leads!T58)</f>
        <v/>
      </c>
      <c r="K58" s="13">
        <f>IF(Leads!AT58="","",Leads!AT58)</f>
        <v/>
      </c>
      <c r="L58" s="13" t="inlineStr">
        <is>
          <t>cold-outreach:lead-machine</t>
        </is>
      </c>
      <c r="M58" s="13">
        <f>IF(Leads!H58="","","cold-outreach,lead-machine,status:drafted,industry:"&amp;LOWER(SUBSTITUTE(SUBSTITUTE(SUBSTITUTE(TRIM(Leads!Q58)," ","-"),"/","-"),"&amp;","and"))&amp;",city:"&amp;LOWER(SUBSTITUTE(TRIM(Leads!S58)," ","-"))&amp;",entry:"&amp;LOWER(SUBSTITUTE(TRIM(Leads!W58)," ","-"))&amp;",attitude:"&amp;LOWER(SUBSTITUTE(SUBSTITUTE(TRIM(Leads!V58)," ","-"),"/","-")))</f>
        <v/>
      </c>
      <c r="N58" s="13">
        <f>IF(Leads!A58="","",Leads!A58)</f>
        <v/>
      </c>
      <c r="O58" s="13">
        <f>IF(Leads!F58="","",Leads!F58)</f>
        <v/>
      </c>
      <c r="P58" s="13">
        <f>IF(Leads!V58="","",Leads!V58)</f>
        <v/>
      </c>
      <c r="Q58" s="13">
        <f>IF(Leads!W58="","",Leads!W58)</f>
        <v/>
      </c>
      <c r="R58" s="13">
        <f>IF(Leads!AO58="","",Leads!AO58)</f>
        <v/>
      </c>
      <c r="S58" s="13">
        <f>IF(Leads!U58="","",Leads!U58)</f>
        <v/>
      </c>
      <c r="T58" s="13">
        <f>IF(Leads!Z58="","",Leads!Z58)</f>
        <v/>
      </c>
      <c r="U58" s="13">
        <f>IF(Leads!AA58="","",Leads!AA58)</f>
        <v/>
      </c>
      <c r="V58" s="13">
        <f>IF(Leads!K58="","",Leads!K58)</f>
        <v/>
      </c>
    </row>
    <row r="59">
      <c r="A59" s="13">
        <f>IF(Leads!D59="","",Leads!D59)</f>
        <v/>
      </c>
      <c r="B59" s="13">
        <f>IF(Leads!I59="","",Leads!I59)</f>
        <v/>
      </c>
      <c r="C59" s="13">
        <f>IF(Leads!J59="","",Leads!J59)</f>
        <v/>
      </c>
      <c r="D59" s="13">
        <f>IF(OR(Leads!L59="",Leads!L59="Not found"),IF(OR(Leads!AR59="",Leads!AR59="Not found"),"",Leads!AR59),Leads!L59)</f>
        <v/>
      </c>
      <c r="E59" s="13">
        <f>IF(OR(Leads!O59="",Leads!O59="Not found"),Leads!P59,Leads!O59)</f>
        <v/>
      </c>
      <c r="F59" s="13">
        <f>IF(Leads!H59="","",Leads!H59)</f>
        <v/>
      </c>
      <c r="G59" s="13">
        <f>IF(Leads!AQ59="","",Leads!AQ59)</f>
        <v/>
      </c>
      <c r="H59" s="13">
        <f>IF(Leads!AS59="","",Leads!AS59)</f>
        <v/>
      </c>
      <c r="I59" s="13">
        <f>IF(Leads!S59="","",Leads!S59)</f>
        <v/>
      </c>
      <c r="J59" s="13">
        <f>IF(Leads!T59="","",Leads!T59)</f>
        <v/>
      </c>
      <c r="K59" s="13">
        <f>IF(Leads!AT59="","",Leads!AT59)</f>
        <v/>
      </c>
      <c r="L59" s="13" t="inlineStr">
        <is>
          <t>cold-outreach:lead-machine</t>
        </is>
      </c>
      <c r="M59" s="13">
        <f>IF(Leads!H59="","","cold-outreach,lead-machine,status:drafted,industry:"&amp;LOWER(SUBSTITUTE(SUBSTITUTE(SUBSTITUTE(TRIM(Leads!Q59)," ","-"),"/","-"),"&amp;","and"))&amp;",city:"&amp;LOWER(SUBSTITUTE(TRIM(Leads!S59)," ","-"))&amp;",entry:"&amp;LOWER(SUBSTITUTE(TRIM(Leads!W59)," ","-"))&amp;",attitude:"&amp;LOWER(SUBSTITUTE(SUBSTITUTE(TRIM(Leads!V59)," ","-"),"/","-")))</f>
        <v/>
      </c>
      <c r="N59" s="13">
        <f>IF(Leads!A59="","",Leads!A59)</f>
        <v/>
      </c>
      <c r="O59" s="13">
        <f>IF(Leads!F59="","",Leads!F59)</f>
        <v/>
      </c>
      <c r="P59" s="13">
        <f>IF(Leads!V59="","",Leads!V59)</f>
        <v/>
      </c>
      <c r="Q59" s="13">
        <f>IF(Leads!W59="","",Leads!W59)</f>
        <v/>
      </c>
      <c r="R59" s="13">
        <f>IF(Leads!AO59="","",Leads!AO59)</f>
        <v/>
      </c>
      <c r="S59" s="13">
        <f>IF(Leads!U59="","",Leads!U59)</f>
        <v/>
      </c>
      <c r="T59" s="13">
        <f>IF(Leads!Z59="","",Leads!Z59)</f>
        <v/>
      </c>
      <c r="U59" s="13">
        <f>IF(Leads!AA59="","",Leads!AA59)</f>
        <v/>
      </c>
      <c r="V59" s="13">
        <f>IF(Leads!K59="","",Leads!K59)</f>
        <v/>
      </c>
    </row>
    <row r="60">
      <c r="A60" s="13">
        <f>IF(Leads!D60="","",Leads!D60)</f>
        <v/>
      </c>
      <c r="B60" s="13">
        <f>IF(Leads!I60="","",Leads!I60)</f>
        <v/>
      </c>
      <c r="C60" s="13">
        <f>IF(Leads!J60="","",Leads!J60)</f>
        <v/>
      </c>
      <c r="D60" s="13">
        <f>IF(OR(Leads!L60="",Leads!L60="Not found"),IF(OR(Leads!AR60="",Leads!AR60="Not found"),"",Leads!AR60),Leads!L60)</f>
        <v/>
      </c>
      <c r="E60" s="13">
        <f>IF(OR(Leads!O60="",Leads!O60="Not found"),Leads!P60,Leads!O60)</f>
        <v/>
      </c>
      <c r="F60" s="13">
        <f>IF(Leads!H60="","",Leads!H60)</f>
        <v/>
      </c>
      <c r="G60" s="13">
        <f>IF(Leads!AQ60="","",Leads!AQ60)</f>
        <v/>
      </c>
      <c r="H60" s="13">
        <f>IF(Leads!AS60="","",Leads!AS60)</f>
        <v/>
      </c>
      <c r="I60" s="13">
        <f>IF(Leads!S60="","",Leads!S60)</f>
        <v/>
      </c>
      <c r="J60" s="13">
        <f>IF(Leads!T60="","",Leads!T60)</f>
        <v/>
      </c>
      <c r="K60" s="13">
        <f>IF(Leads!AT60="","",Leads!AT60)</f>
        <v/>
      </c>
      <c r="L60" s="13" t="inlineStr">
        <is>
          <t>cold-outreach:lead-machine</t>
        </is>
      </c>
      <c r="M60" s="13">
        <f>IF(Leads!H60="","","cold-outreach,lead-machine,status:drafted,industry:"&amp;LOWER(SUBSTITUTE(SUBSTITUTE(SUBSTITUTE(TRIM(Leads!Q60)," ","-"),"/","-"),"&amp;","and"))&amp;",city:"&amp;LOWER(SUBSTITUTE(TRIM(Leads!S60)," ","-"))&amp;",entry:"&amp;LOWER(SUBSTITUTE(TRIM(Leads!W60)," ","-"))&amp;",attitude:"&amp;LOWER(SUBSTITUTE(SUBSTITUTE(TRIM(Leads!V60)," ","-"),"/","-")))</f>
        <v/>
      </c>
      <c r="N60" s="13">
        <f>IF(Leads!A60="","",Leads!A60)</f>
        <v/>
      </c>
      <c r="O60" s="13">
        <f>IF(Leads!F60="","",Leads!F60)</f>
        <v/>
      </c>
      <c r="P60" s="13">
        <f>IF(Leads!V60="","",Leads!V60)</f>
        <v/>
      </c>
      <c r="Q60" s="13">
        <f>IF(Leads!W60="","",Leads!W60)</f>
        <v/>
      </c>
      <c r="R60" s="13">
        <f>IF(Leads!AO60="","",Leads!AO60)</f>
        <v/>
      </c>
      <c r="S60" s="13">
        <f>IF(Leads!U60="","",Leads!U60)</f>
        <v/>
      </c>
      <c r="T60" s="13">
        <f>IF(Leads!Z60="","",Leads!Z60)</f>
        <v/>
      </c>
      <c r="U60" s="13">
        <f>IF(Leads!AA60="","",Leads!AA60)</f>
        <v/>
      </c>
      <c r="V60" s="13">
        <f>IF(Leads!K60="","",Leads!K60)</f>
        <v/>
      </c>
    </row>
    <row r="61">
      <c r="A61" s="13">
        <f>IF(Leads!D61="","",Leads!D61)</f>
        <v/>
      </c>
      <c r="B61" s="13">
        <f>IF(Leads!I61="","",Leads!I61)</f>
        <v/>
      </c>
      <c r="C61" s="13">
        <f>IF(Leads!J61="","",Leads!J61)</f>
        <v/>
      </c>
      <c r="D61" s="13">
        <f>IF(OR(Leads!L61="",Leads!L61="Not found"),IF(OR(Leads!AR61="",Leads!AR61="Not found"),"",Leads!AR61),Leads!L61)</f>
        <v/>
      </c>
      <c r="E61" s="13">
        <f>IF(OR(Leads!O61="",Leads!O61="Not found"),Leads!P61,Leads!O61)</f>
        <v/>
      </c>
      <c r="F61" s="13">
        <f>IF(Leads!H61="","",Leads!H61)</f>
        <v/>
      </c>
      <c r="G61" s="13">
        <f>IF(Leads!AQ61="","",Leads!AQ61)</f>
        <v/>
      </c>
      <c r="H61" s="13">
        <f>IF(Leads!AS61="","",Leads!AS61)</f>
        <v/>
      </c>
      <c r="I61" s="13">
        <f>IF(Leads!S61="","",Leads!S61)</f>
        <v/>
      </c>
      <c r="J61" s="13">
        <f>IF(Leads!T61="","",Leads!T61)</f>
        <v/>
      </c>
      <c r="K61" s="13">
        <f>IF(Leads!AT61="","",Leads!AT61)</f>
        <v/>
      </c>
      <c r="L61" s="13" t="inlineStr">
        <is>
          <t>cold-outreach:lead-machine</t>
        </is>
      </c>
      <c r="M61" s="13">
        <f>IF(Leads!H61="","","cold-outreach,lead-machine,status:drafted,industry:"&amp;LOWER(SUBSTITUTE(SUBSTITUTE(SUBSTITUTE(TRIM(Leads!Q61)," ","-"),"/","-"),"&amp;","and"))&amp;",city:"&amp;LOWER(SUBSTITUTE(TRIM(Leads!S61)," ","-"))&amp;",entry:"&amp;LOWER(SUBSTITUTE(TRIM(Leads!W61)," ","-"))&amp;",attitude:"&amp;LOWER(SUBSTITUTE(SUBSTITUTE(TRIM(Leads!V61)," ","-"),"/","-")))</f>
        <v/>
      </c>
      <c r="N61" s="13">
        <f>IF(Leads!A61="","",Leads!A61)</f>
        <v/>
      </c>
      <c r="O61" s="13">
        <f>IF(Leads!F61="","",Leads!F61)</f>
        <v/>
      </c>
      <c r="P61" s="13">
        <f>IF(Leads!V61="","",Leads!V61)</f>
        <v/>
      </c>
      <c r="Q61" s="13">
        <f>IF(Leads!W61="","",Leads!W61)</f>
        <v/>
      </c>
      <c r="R61" s="13">
        <f>IF(Leads!AO61="","",Leads!AO61)</f>
        <v/>
      </c>
      <c r="S61" s="13">
        <f>IF(Leads!U61="","",Leads!U61)</f>
        <v/>
      </c>
      <c r="T61" s="13">
        <f>IF(Leads!Z61="","",Leads!Z61)</f>
        <v/>
      </c>
      <c r="U61" s="13">
        <f>IF(Leads!AA61="","",Leads!AA61)</f>
        <v/>
      </c>
      <c r="V61" s="13">
        <f>IF(Leads!K61="","",Leads!K61)</f>
        <v/>
      </c>
    </row>
    <row r="63">
      <c r="A63" s="2" t="inlineStr">
        <is>
          <t>How to export: filter column A (Review Decision) to Approve, then File → Download → CSV. Import that CSV in GHL (Contacts → Import). Columns map 1:1 to GHL fields; Tags are comma-separated.</t>
        </is>
      </c>
    </row>
  </sheetData>
  <autoFilter ref="A1:V6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2026-10-13T02:32:58Z</dcterms:created>
  <dcterms:modified xmlns:dcterms="http://purl.org/dc/terms/" xmlns:xsi="http://www.w3.org/2001/XMLSchema-instance" xsi:type="dcterms:W3CDTF">2026-10-13T02:32:58Z</dcterms:modified>
</cp:coreProperties>
</file>